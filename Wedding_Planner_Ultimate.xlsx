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shboard" sheetId="1" r:id="rId1"/>
    <sheet name="Budget Overview" sheetId="2" r:id="rId2"/>
    <sheet name="Guest List &amp; RSVP" sheetId="3" r:id="rId3"/>
    <sheet name="Seating Chart" sheetId="4" r:id="rId4"/>
    <sheet name="Vendor Contacts" sheetId="5" r:id="rId5"/>
    <sheet name="Venue Comparison" sheetId="6" r:id="rId6"/>
    <sheet name="Wedding Checklist" sheetId="7" r:id="rId7"/>
    <sheet name="Vendor Payments" sheetId="8" r:id="rId8"/>
    <sheet name="Wedding Day Timeline" sheetId="9" r:id="rId9"/>
    <sheet name="Photography Shot List" sheetId="10" r:id="rId10"/>
    <sheet name="Registry Tracker" sheetId="11" r:id="rId11"/>
    <sheet name="Thank You Tracker" sheetId="12" r:id="rId12"/>
    <sheet name="Ceremony Details" sheetId="13" r:id="rId13"/>
    <sheet name="Reception Details" sheetId="14" r:id="rId14"/>
    <sheet name="Wedding Party" sheetId="15" r:id="rId15"/>
    <sheet name="Emergency Contacts" sheetId="16" r:id="rId16"/>
    <sheet name="Honeymoon Planner" sheetId="17" r:id="rId17"/>
    <sheet name="Notes &amp; Ideas" sheetId="18" r:id="rId18"/>
  </sheets>
  <calcPr calcId="124519" fullCalcOnLoad="1"/>
</workbook>
</file>

<file path=xl/sharedStrings.xml><?xml version="1.0" encoding="utf-8"?>
<sst xmlns="http://schemas.openxmlformats.org/spreadsheetml/2006/main" count="1422" uniqueCount="867">
  <si>
    <t>WEDDING PLANNER</t>
  </si>
  <si>
    <t>Your Complete Wedding Planning System | AiLunaStore</t>
  </si>
  <si>
    <t>BUDGET BY CATEGORY</t>
  </si>
  <si>
    <t>Category</t>
  </si>
  <si>
    <t>Budgeted</t>
  </si>
  <si>
    <t>Spent</t>
  </si>
  <si>
    <t>Venue</t>
  </si>
  <si>
    <t>Catering</t>
  </si>
  <si>
    <t>Photography</t>
  </si>
  <si>
    <t>Videography</t>
  </si>
  <si>
    <t>Flowers</t>
  </si>
  <si>
    <t>DJ/Band</t>
  </si>
  <si>
    <t>Attire</t>
  </si>
  <si>
    <t>Hair &amp; Makeup</t>
  </si>
  <si>
    <t>Invitations</t>
  </si>
  <si>
    <t>Favors</t>
  </si>
  <si>
    <t>Decor</t>
  </si>
  <si>
    <t>Transportation</t>
  </si>
  <si>
    <t>Gifts</t>
  </si>
  <si>
    <t>Insurance</t>
  </si>
  <si>
    <t>Miscellaneous</t>
  </si>
  <si>
    <t>GUEST OVERVIEW</t>
  </si>
  <si>
    <t>RSVP Status</t>
  </si>
  <si>
    <t>Count</t>
  </si>
  <si>
    <t>Confirmed</t>
  </si>
  <si>
    <t>Pending</t>
  </si>
  <si>
    <t>Declined</t>
  </si>
  <si>
    <t>TOTAL</t>
  </si>
  <si>
    <t>TOP 3 UPCOMING TASKS</t>
  </si>
  <si>
    <t>Task</t>
  </si>
  <si>
    <t>Description</t>
  </si>
  <si>
    <t>Task 1</t>
  </si>
  <si>
    <t>Task 2</t>
  </si>
  <si>
    <t>Task 3</t>
  </si>
  <si>
    <t>WEDDING BUDGET TRACKER</t>
  </si>
  <si>
    <t>Track every dollar — stay on budget</t>
  </si>
  <si>
    <t>Total Wedding Budget:</t>
  </si>
  <si>
    <t>Budgeted ($)</t>
  </si>
  <si>
    <t>Actual ($)</t>
  </si>
  <si>
    <t>Variance ($)</t>
  </si>
  <si>
    <t>% Used</t>
  </si>
  <si>
    <t>Paid?</t>
  </si>
  <si>
    <t>Yes</t>
  </si>
  <si>
    <t>No</t>
  </si>
  <si>
    <t>TOTALS</t>
  </si>
  <si>
    <t>BUDGET SUMMARY</t>
  </si>
  <si>
    <t>Total Budgeted:</t>
  </si>
  <si>
    <t>Total Spent:</t>
  </si>
  <si>
    <t>Remaining:</t>
  </si>
  <si>
    <t>Largest Over-budget:</t>
  </si>
  <si>
    <t>GUEST LIST &amp; RSVP TRACKER</t>
  </si>
  <si>
    <t>Your Complete Guest Management System</t>
  </si>
  <si>
    <t>Total Invited: 65</t>
  </si>
  <si>
    <t>Confirmed: 53</t>
  </si>
  <si>
    <t>Pending: 5</t>
  </si>
  <si>
    <t>Declined: 7</t>
  </si>
  <si>
    <t>Total Attending: 61</t>
  </si>
  <si>
    <t>First Name</t>
  </si>
  <si>
    <t>Last Name</t>
  </si>
  <si>
    <t>Email</t>
  </si>
  <si>
    <t>Phone</t>
  </si>
  <si>
    <t># Guests</t>
  </si>
  <si>
    <t>Meal Choice</t>
  </si>
  <si>
    <t>Table #</t>
  </si>
  <si>
    <t>Thank You?</t>
  </si>
  <si>
    <t>Notes</t>
  </si>
  <si>
    <t>Emily</t>
  </si>
  <si>
    <t>Thompson</t>
  </si>
  <si>
    <t>emily.thompson@email.com</t>
  </si>
  <si>
    <t>555-0101</t>
  </si>
  <si>
    <t>Standard</t>
  </si>
  <si>
    <t>Maid of Honor</t>
  </si>
  <si>
    <t>Michael</t>
  </si>
  <si>
    <t>Chen</t>
  </si>
  <si>
    <t>michael.chen@email.com</t>
  </si>
  <si>
    <t>555-0102</t>
  </si>
  <si>
    <t>Vegetarian</t>
  </si>
  <si>
    <t>Best Man</t>
  </si>
  <si>
    <t>Sarah</t>
  </si>
  <si>
    <t>Williams</t>
  </si>
  <si>
    <t>sarah.w@email.com</t>
  </si>
  <si>
    <t>555-0103</t>
  </si>
  <si>
    <t>David</t>
  </si>
  <si>
    <t>Rodriguez</t>
  </si>
  <si>
    <t>david.r@email.com</t>
  </si>
  <si>
    <t>555-0104</t>
  </si>
  <si>
    <t>Jessica</t>
  </si>
  <si>
    <t>Lee</t>
  </si>
  <si>
    <t>jessica.lee@email.com</t>
  </si>
  <si>
    <t>555-0105</t>
  </si>
  <si>
    <t>Gluten-Free</t>
  </si>
  <si>
    <t>James</t>
  </si>
  <si>
    <t>Brown</t>
  </si>
  <si>
    <t>james.brown@email.com</t>
  </si>
  <si>
    <t>555-0106</t>
  </si>
  <si>
    <t>Amanda</t>
  </si>
  <si>
    <t>Garcia</t>
  </si>
  <si>
    <t>amanda.g@email.com</t>
  </si>
  <si>
    <t>555-0107</t>
  </si>
  <si>
    <t>Robert</t>
  </si>
  <si>
    <t>Martinez</t>
  </si>
  <si>
    <t>robert.m@email.com</t>
  </si>
  <si>
    <t>555-0108</t>
  </si>
  <si>
    <t>Ashley</t>
  </si>
  <si>
    <t>Johnson</t>
  </si>
  <si>
    <t>ashley.j@email.com</t>
  </si>
  <si>
    <t>555-0109</t>
  </si>
  <si>
    <t>Vegan</t>
  </si>
  <si>
    <t>Christopher</t>
  </si>
  <si>
    <t>Davis</t>
  </si>
  <si>
    <t>chris.davis@email.com</t>
  </si>
  <si>
    <t>555-0110</t>
  </si>
  <si>
    <t>Nicole</t>
  </si>
  <si>
    <t>Wilson</t>
  </si>
  <si>
    <t>nicole.w@email.com</t>
  </si>
  <si>
    <t>555-0111</t>
  </si>
  <si>
    <t>Matthew</t>
  </si>
  <si>
    <t>Taylor</t>
  </si>
  <si>
    <t>matt.t@email.com</t>
  </si>
  <si>
    <t>555-0112</t>
  </si>
  <si>
    <t>Kosher</t>
  </si>
  <si>
    <t>Stephanie</t>
  </si>
  <si>
    <t>Anderson</t>
  </si>
  <si>
    <t>stephanie.a@email.com</t>
  </si>
  <si>
    <t>555-0113</t>
  </si>
  <si>
    <t>Daniel</t>
  </si>
  <si>
    <t>Thomas</t>
  </si>
  <si>
    <t>dan.t@email.com</t>
  </si>
  <si>
    <t>555-0114</t>
  </si>
  <si>
    <t>Jennifer</t>
  </si>
  <si>
    <t>Jackson</t>
  </si>
  <si>
    <t>jen.jackson@email.com</t>
  </si>
  <si>
    <t>555-0115</t>
  </si>
  <si>
    <t>Andrew</t>
  </si>
  <si>
    <t>White</t>
  </si>
  <si>
    <t>andrew.w@email.com</t>
  </si>
  <si>
    <t>555-0116</t>
  </si>
  <si>
    <t>N/A</t>
  </si>
  <si>
    <t>Elizabeth</t>
  </si>
  <si>
    <t>Harris</t>
  </si>
  <si>
    <t>liz.harris@email.com</t>
  </si>
  <si>
    <t>555-0117</t>
  </si>
  <si>
    <t>Joshua</t>
  </si>
  <si>
    <t>Martin</t>
  </si>
  <si>
    <t>josh.martin@email.com</t>
  </si>
  <si>
    <t>555-0118</t>
  </si>
  <si>
    <t>Lauren</t>
  </si>
  <si>
    <t>lauren.t@email.com</t>
  </si>
  <si>
    <t>555-0119</t>
  </si>
  <si>
    <t>Sorry, cannot attend</t>
  </si>
  <si>
    <t>Ryan</t>
  </si>
  <si>
    <t>ryan.g@email.com</t>
  </si>
  <si>
    <t>555-0120</t>
  </si>
  <si>
    <t>Out of town</t>
  </si>
  <si>
    <t>SEATING CHART</t>
  </si>
  <si>
    <t>Assign guests to tables — up to 10 per table</t>
  </si>
  <si>
    <t>Table Name</t>
  </si>
  <si>
    <t>Seats</t>
  </si>
  <si>
    <t>Guest 1</t>
  </si>
  <si>
    <t>Guest 2</t>
  </si>
  <si>
    <t>Guest 3</t>
  </si>
  <si>
    <t>Guest 4</t>
  </si>
  <si>
    <t>Guest 5</t>
  </si>
  <si>
    <t>Guest 6</t>
  </si>
  <si>
    <t>Guest 7</t>
  </si>
  <si>
    <t>Guest 8</t>
  </si>
  <si>
    <t>Guest 9</t>
  </si>
  <si>
    <t>Guest 10</t>
  </si>
  <si>
    <t>Head Table</t>
  </si>
  <si>
    <t>Emily Thompson</t>
  </si>
  <si>
    <t>Michael Chen</t>
  </si>
  <si>
    <t>Sarah Williams</t>
  </si>
  <si>
    <t>David Rodriguez</t>
  </si>
  <si>
    <t>Jessica Lee</t>
  </si>
  <si>
    <t>James Brown</t>
  </si>
  <si>
    <t>Amanda Garcia</t>
  </si>
  <si>
    <t>Robert Martinez</t>
  </si>
  <si>
    <t>Nicole Wilson</t>
  </si>
  <si>
    <t>Matthew Taylor</t>
  </si>
  <si>
    <t>VIP Head Table</t>
  </si>
  <si>
    <t>Family Table 1</t>
  </si>
  <si>
    <t>Stephanie Anderson</t>
  </si>
  <si>
    <t>Daniel Thomas</t>
  </si>
  <si>
    <t>Jennifer Jackson</t>
  </si>
  <si>
    <t>Friends Table 1</t>
  </si>
  <si>
    <t>Ashley Williams</t>
  </si>
  <si>
    <t>Chris Davis</t>
  </si>
  <si>
    <t>Friends Table 2</t>
  </si>
  <si>
    <t>Matt Taylor</t>
  </si>
  <si>
    <t>Family Table 2</t>
  </si>
  <si>
    <t>VENDOR CONTACT TRACKER</t>
  </si>
  <si>
    <t>Keep all your vendor information in one place</t>
  </si>
  <si>
    <t>Vendor Type</t>
  </si>
  <si>
    <t>Vendor Name</t>
  </si>
  <si>
    <t>Contact</t>
  </si>
  <si>
    <t>Website</t>
  </si>
  <si>
    <t>Contract</t>
  </si>
  <si>
    <t>Deposit</t>
  </si>
  <si>
    <t>Balance</t>
  </si>
  <si>
    <t>Final Due</t>
  </si>
  <si>
    <t>Rating</t>
  </si>
  <si>
    <t>The Grand Ballroom</t>
  </si>
  <si>
    <t>Sarah Mitchell</t>
  </si>
  <si>
    <t>555-8001</t>
  </si>
  <si>
    <t>sarah@grandballroom.com</t>
  </si>
  <si>
    <t>www.grandballroom.com</t>
  </si>
  <si>
    <t>Jan 15, 2026</t>
  </si>
  <si>
    <t>Main ceremony venue</t>
  </si>
  <si>
    <t>Caterer</t>
  </si>
  <si>
    <t>Gourmet Affairs</t>
  </si>
  <si>
    <t>Chef Marco Rossi</t>
  </si>
  <si>
    <t>555-8002</t>
  </si>
  <si>
    <t>marco@gourmetaffairs.com</t>
  </si>
  <si>
    <t>www.gourmetaffairs.com</t>
  </si>
  <si>
    <t>Feb 1, 2026</t>
  </si>
  <si>
    <t>Preferred caterer</t>
  </si>
  <si>
    <t>Photographer</t>
  </si>
  <si>
    <t>Luminous Photo Co.</t>
  </si>
  <si>
    <t>Anna Lens</t>
  </si>
  <si>
    <t>555-8003</t>
  </si>
  <si>
    <t>anna@luminousphoto.com</t>
  </si>
  <si>
    <t>www.luminousphoto.com</t>
  </si>
  <si>
    <t>Mar 1, 2026</t>
  </si>
  <si>
    <t>Engagement photos included</t>
  </si>
  <si>
    <t>Videographer</t>
  </si>
  <si>
    <t>Florist</t>
  </si>
  <si>
    <t>Officiant</t>
  </si>
  <si>
    <t>Baker</t>
  </si>
  <si>
    <t>Rentals</t>
  </si>
  <si>
    <t>VENUE COMPARISON WORKSHEET</t>
  </si>
  <si>
    <t>Compare up to 3 venues side by side</t>
  </si>
  <si>
    <t>Criteria</t>
  </si>
  <si>
    <t>Venue A</t>
  </si>
  <si>
    <t>Venue B</t>
  </si>
  <si>
    <t>Venue C</t>
  </si>
  <si>
    <t>Venue Name</t>
  </si>
  <si>
    <t>The Grand</t>
  </si>
  <si>
    <t>The Garden</t>
  </si>
  <si>
    <t>The Loft</t>
  </si>
  <si>
    <t>Address</t>
  </si>
  <si>
    <t>123 Main St</t>
  </si>
  <si>
    <t>456 Oak Ave</t>
  </si>
  <si>
    <t>789 Pine Rd</t>
  </si>
  <si>
    <t>Guest Capacity</t>
  </si>
  <si>
    <t>Rental Fee</t>
  </si>
  <si>
    <t>Catering Options</t>
  </si>
  <si>
    <t>In-house</t>
  </si>
  <si>
    <t>Outside</t>
  </si>
  <si>
    <t>Parking Spaces</t>
  </si>
  <si>
    <t>Accessibility</t>
  </si>
  <si>
    <t>Partial</t>
  </si>
  <si>
    <t>Included Items</t>
  </si>
  <si>
    <t>Tables, chairs, linens</t>
  </si>
  <si>
    <t>Chairs only</t>
  </si>
  <si>
    <t>Tables, chairs</t>
  </si>
  <si>
    <t>Outside Vendors Allowed</t>
  </si>
  <si>
    <t>Payment Schedule</t>
  </si>
  <si>
    <t>3 installments</t>
  </si>
  <si>
    <t>2 installments</t>
  </si>
  <si>
    <t>1 installment</t>
  </si>
  <si>
    <t>Score (1-10)</t>
  </si>
  <si>
    <t>Best overall</t>
  </si>
  <si>
    <t>Beautiful garden</t>
  </si>
  <si>
    <t>Modern loft style</t>
  </si>
  <si>
    <t>ULTIMATE WEDDING CHECKLIST</t>
  </si>
  <si>
    <t>Everything you need to do — check it off as you go</t>
  </si>
  <si>
    <t>Priority</t>
  </si>
  <si>
    <t>Due Date</t>
  </si>
  <si>
    <t>Status</t>
  </si>
  <si>
    <t>Book venue</t>
  </si>
  <si>
    <t>High</t>
  </si>
  <si>
    <t>12 months out</t>
  </si>
  <si>
    <t>Done</t>
  </si>
  <si>
    <t>Hire wedding planner</t>
  </si>
  <si>
    <t>Planning</t>
  </si>
  <si>
    <t>Set overall budget</t>
  </si>
  <si>
    <t>Budget</t>
  </si>
  <si>
    <t>Start guest list</t>
  </si>
  <si>
    <t>Guest</t>
  </si>
  <si>
    <t>Book photographer</t>
  </si>
  <si>
    <t>Photo</t>
  </si>
  <si>
    <t>Book videographer</t>
  </si>
  <si>
    <t>Video</t>
  </si>
  <si>
    <t>Send save-the-dates</t>
  </si>
  <si>
    <t>Medium</t>
  </si>
  <si>
    <t>11 months out</t>
  </si>
  <si>
    <t>Book caterer</t>
  </si>
  <si>
    <t>Register for gifts</t>
  </si>
  <si>
    <t>Book florist</t>
  </si>
  <si>
    <t>10 months out</t>
  </si>
  <si>
    <t>Book DJ/band</t>
  </si>
  <si>
    <t>Music</t>
  </si>
  <si>
    <t>Order invitations</t>
  </si>
  <si>
    <t>Paper</t>
  </si>
  <si>
    <t>Book officiant</t>
  </si>
  <si>
    <t>Plan honeymoon</t>
  </si>
  <si>
    <t>9 months out</t>
  </si>
  <si>
    <t>In Progress</t>
  </si>
  <si>
    <t>Research destinations</t>
  </si>
  <si>
    <t>Choose wedding party</t>
  </si>
  <si>
    <t>Book hair and makeup</t>
  </si>
  <si>
    <t>Order invitations (final)</t>
  </si>
  <si>
    <t>8 months out</t>
  </si>
  <si>
    <t>Begin dress fittings</t>
  </si>
  <si>
    <t>3 fittings scheduled</t>
  </si>
  <si>
    <t>Plan rehearsal dinner</t>
  </si>
  <si>
    <t>Not Started</t>
  </si>
  <si>
    <t>Finalize ceremony details</t>
  </si>
  <si>
    <t>7 months out</t>
  </si>
  <si>
    <t>Book transportation</t>
  </si>
  <si>
    <t>Choose menu</t>
  </si>
  <si>
    <t>Order favors</t>
  </si>
  <si>
    <t>Low</t>
  </si>
  <si>
    <t>6 months out</t>
  </si>
  <si>
    <t>Order decor</t>
  </si>
  <si>
    <t>Design programs</t>
  </si>
  <si>
    <t>Final dress fitting</t>
  </si>
  <si>
    <t>5 months out</t>
  </si>
  <si>
    <t>Confirm all vendors</t>
  </si>
  <si>
    <t>Start thank-you notes</t>
  </si>
  <si>
    <t>Writing as gifts arrive</t>
  </si>
  <si>
    <t>Finalize seating chart</t>
  </si>
  <si>
    <t>4 months out</t>
  </si>
  <si>
    <t>Order cake</t>
  </si>
  <si>
    <t>Finalize day-of timeline</t>
  </si>
  <si>
    <t>Apply for marriage license</t>
  </si>
  <si>
    <t>3 months out</t>
  </si>
  <si>
    <t>Confirm hotel blocks</t>
  </si>
  <si>
    <t>Final alterations</t>
  </si>
  <si>
    <t>Final walkthrough</t>
  </si>
  <si>
    <t>2 months out</t>
  </si>
  <si>
    <t>Pay final balances</t>
  </si>
  <si>
    <t>Confirm all details</t>
  </si>
  <si>
    <t>Pick up dress</t>
  </si>
  <si>
    <t>1 month out</t>
  </si>
  <si>
    <t>Confirm schedule</t>
  </si>
  <si>
    <t>Relax!</t>
  </si>
  <si>
    <t>Take a deep breath</t>
  </si>
  <si>
    <t>VENDOR PAYMENT SCHEDULE</t>
  </si>
  <si>
    <t>Never miss a payment — track every deposit and final payment</t>
  </si>
  <si>
    <t>Vendor</t>
  </si>
  <si>
    <t>Service</t>
  </si>
  <si>
    <t>Total Fee</t>
  </si>
  <si>
    <t>Deposit Paid</t>
  </si>
  <si>
    <t>Deposit Date</t>
  </si>
  <si>
    <t>Payment 2</t>
  </si>
  <si>
    <t>Payment 2 Date</t>
  </si>
  <si>
    <t>Final Payment</t>
  </si>
  <si>
    <t>Final Due Date</t>
  </si>
  <si>
    <t>Paid in Full?</t>
  </si>
  <si>
    <t>Oct 15, 2025</t>
  </si>
  <si>
    <t>Oct 20, 2025</t>
  </si>
  <si>
    <t>Jan 20, 2026</t>
  </si>
  <si>
    <t>Mar 15, 2026</t>
  </si>
  <si>
    <t>Luminous Photo</t>
  </si>
  <si>
    <t>Nov 1, 2025</t>
  </si>
  <si>
    <t>Apr 1, 2026</t>
  </si>
  <si>
    <t>Cinema Films</t>
  </si>
  <si>
    <t>Nov 5, 2025</t>
  </si>
  <si>
    <t>Feb 5, 2026</t>
  </si>
  <si>
    <t>Apr 10, 2026</t>
  </si>
  <si>
    <t>Bloom Florals</t>
  </si>
  <si>
    <t>Nov 10, 2025</t>
  </si>
  <si>
    <t>Feb 10, 2026</t>
  </si>
  <si>
    <t>Apr 15, 2026</t>
  </si>
  <si>
    <t>Beat Drop DJ</t>
  </si>
  <si>
    <t>Nov 15, 2025</t>
  </si>
  <si>
    <t>Feb 15, 2026</t>
  </si>
  <si>
    <t>Apr 20, 2026</t>
  </si>
  <si>
    <t>Elite Alterations</t>
  </si>
  <si>
    <t>Dec 1, 2025</t>
  </si>
  <si>
    <t>Apr 25, 2026</t>
  </si>
  <si>
    <t>Glam Studio</t>
  </si>
  <si>
    <t>Dec 5, 2025</t>
  </si>
  <si>
    <t>Mar 5, 2026</t>
  </si>
  <si>
    <t>Apr 30, 2026</t>
  </si>
  <si>
    <t>Paper Dreams</t>
  </si>
  <si>
    <t>Dec 10, 2025</t>
  </si>
  <si>
    <t>Mar 10, 2026</t>
  </si>
  <si>
    <t>May 1, 2026</t>
  </si>
  <si>
    <t>Sweet Creations</t>
  </si>
  <si>
    <t>Cake</t>
  </si>
  <si>
    <t>Jan 1, 2026</t>
  </si>
  <si>
    <t>May 10, 2026</t>
  </si>
  <si>
    <t>WEDDING DAY TIMELINE</t>
  </si>
  <si>
    <t>Your hour-by-hour schedule for the big day</t>
  </si>
  <si>
    <t>Time</t>
  </si>
  <si>
    <t>Activity</t>
  </si>
  <si>
    <t>Location</t>
  </si>
  <si>
    <t>Vendor/Contact</t>
  </si>
  <si>
    <t>Done?</t>
  </si>
  <si>
    <t>6:00 AM</t>
  </si>
  <si>
    <t>Wake up &amp; breakfast</t>
  </si>
  <si>
    <t>7:00 AM</t>
  </si>
  <si>
    <t>Hair &amp; makeup begins</t>
  </si>
  <si>
    <t>Bridal Suite</t>
  </si>
  <si>
    <t>Hair Stylist</t>
  </si>
  <si>
    <t>9:00 AM</t>
  </si>
  <si>
    <t>Hair &amp; makeup finish</t>
  </si>
  <si>
    <t>9:30 AM</t>
  </si>
  <si>
    <t>Get dressed</t>
  </si>
  <si>
    <t>10:00 AM</t>
  </si>
  <si>
    <t>First look photos</t>
  </si>
  <si>
    <t>Garden</t>
  </si>
  <si>
    <t>10:30 AM</t>
  </si>
  <si>
    <t>Bridal party photos</t>
  </si>
  <si>
    <t>11:30 AM</t>
  </si>
  <si>
    <t>Ceremony rehearsal</t>
  </si>
  <si>
    <t>Ceremony Site</t>
  </si>
  <si>
    <t>12:00 PM</t>
  </si>
  <si>
    <t>Light lunch / snacks</t>
  </si>
  <si>
    <t>Caterer delivering</t>
  </si>
  <si>
    <t>1:00 PM</t>
  </si>
  <si>
    <t>Guests arrive</t>
  </si>
  <si>
    <t>1:30 PM</t>
  </si>
  <si>
    <t>CEREMONY BEGINS</t>
  </si>
  <si>
    <t>Key moment!</t>
  </si>
  <si>
    <t>2:30 PM</t>
  </si>
  <si>
    <t>Ceremony ends / Cocktail hour</t>
  </si>
  <si>
    <t>Cocktail Lounge</t>
  </si>
  <si>
    <t>3:30 PM</t>
  </si>
  <si>
    <t>Reception doors open</t>
  </si>
  <si>
    <t>Ballroom</t>
  </si>
  <si>
    <t>3:45 PM</t>
  </si>
  <si>
    <t>Grand entrance</t>
  </si>
  <si>
    <t>Announce wedding party</t>
  </si>
  <si>
    <t>4:00 PM</t>
  </si>
  <si>
    <t>First dance (Bride &amp; Groom)</t>
  </si>
  <si>
    <t>Song: Perfect</t>
  </si>
  <si>
    <t>4:15 PM</t>
  </si>
  <si>
    <t>Dinner service begins</t>
  </si>
  <si>
    <t>5:15 PM</t>
  </si>
  <si>
    <t>Toasts</t>
  </si>
  <si>
    <t>Best Man, MOH</t>
  </si>
  <si>
    <t>5:45 PM</t>
  </si>
  <si>
    <t>Parent dances</t>
  </si>
  <si>
    <t>6:00 PM</t>
  </si>
  <si>
    <t>Open dancing begins</t>
  </si>
  <si>
    <t>7:30 PM</t>
  </si>
  <si>
    <t>Cake cutting</t>
  </si>
  <si>
    <t>8:00 PM</t>
  </si>
  <si>
    <t>Bouquet toss</t>
  </si>
  <si>
    <t>9:00 PM</t>
  </si>
  <si>
    <t>Open dancing continues</t>
  </si>
  <si>
    <t>10:00 PM</t>
  </si>
  <si>
    <t>Last dance</t>
  </si>
  <si>
    <t>Song: Endless Love</t>
  </si>
  <si>
    <t>10:15 PM</t>
  </si>
  <si>
    <t>Send-off</t>
  </si>
  <si>
    <t>Entrance</t>
  </si>
  <si>
    <t>Sparklers ready!</t>
  </si>
  <si>
    <t>PHOTOGRAPHY SHOT LIST</t>
  </si>
  <si>
    <t>Must-have photos — confirm each with your photographer</t>
  </si>
  <si>
    <t>Shot Description</t>
  </si>
  <si>
    <t>Confirmed?</t>
  </si>
  <si>
    <t>Photographer Notes</t>
  </si>
  <si>
    <t>PRE-WEDDING</t>
  </si>
  <si>
    <t>Getting ready - bride</t>
  </si>
  <si>
    <t>Getting ready - groom</t>
  </si>
  <si>
    <t>Bride putting on dress</t>
  </si>
  <si>
    <t>Bride with bridesmaids</t>
  </si>
  <si>
    <t>Groom with groomsmen</t>
  </si>
  <si>
    <t>Detail shots (rings, flowers, invitations)</t>
  </si>
  <si>
    <t>Bride portrait</t>
  </si>
  <si>
    <t>Groom portrait</t>
  </si>
  <si>
    <t>CEREMONY</t>
  </si>
  <si>
    <t>Processional</t>
  </si>
  <si>
    <t>Exchange of vows</t>
  </si>
  <si>
    <t>Ring exchange</t>
  </si>
  <si>
    <t>First kiss</t>
  </si>
  <si>
    <t>Signing marriage license</t>
  </si>
  <si>
    <t>Need witness</t>
  </si>
  <si>
    <t>Recessional</t>
  </si>
  <si>
    <t>Couple walking away</t>
  </si>
  <si>
    <t>GROUP PHOTOS</t>
  </si>
  <si>
    <t>Full wedding party</t>
  </si>
  <si>
    <t>Bride with parents</t>
  </si>
  <si>
    <t>Groom with parents</t>
  </si>
  <si>
    <t>Both families</t>
  </si>
  <si>
    <t>Large group - need space</t>
  </si>
  <si>
    <t>Grandparents</t>
  </si>
  <si>
    <t>Bridal party - bridesmaids</t>
  </si>
  <si>
    <t>Bridal party - groomsmen</t>
  </si>
  <si>
    <t>Ring bearer &amp; flower girl</t>
  </si>
  <si>
    <t>RECEPTION</t>
  </si>
  <si>
    <t>First dance</t>
  </si>
  <si>
    <t>Open dancing</t>
  </si>
  <si>
    <t>Sunset portraits</t>
  </si>
  <si>
    <t>Check sunset time</t>
  </si>
  <si>
    <t>Sparkler exit</t>
  </si>
  <si>
    <t>DETAILS</t>
  </si>
  <si>
    <t>Rings</t>
  </si>
  <si>
    <t>Dress</t>
  </si>
  <si>
    <t>Shoes</t>
  </si>
  <si>
    <t>Centerpieces</t>
  </si>
  <si>
    <t>Table settings</t>
  </si>
  <si>
    <t>Guest book area</t>
  </si>
  <si>
    <t>Gift table</t>
  </si>
  <si>
    <t>GIFT &amp; REGISTRY TRACKER</t>
  </si>
  <si>
    <t>Track every gift received and your thank-you note status</t>
  </si>
  <si>
    <t>Store</t>
  </si>
  <si>
    <t>Item</t>
  </si>
  <si>
    <t>Price</t>
  </si>
  <si>
    <t>Link</t>
  </si>
  <si>
    <t>Purchased?</t>
  </si>
  <si>
    <t>Thank You Sent?</t>
  </si>
  <si>
    <t>Date Sent</t>
  </si>
  <si>
    <t>Crate &amp; Barrel</t>
  </si>
  <si>
    <t>Dinnerware Set (8 place settings)</t>
  </si>
  <si>
    <t>https://crateandbarrel.com/dinnerware</t>
  </si>
  <si>
    <t>Wedding gift from Smith family</t>
  </si>
  <si>
    <t>Williams Sonoma</t>
  </si>
  <si>
    <t>Stand Mixer</t>
  </si>
  <si>
    <t>https://williams-sonoma.com/mixer</t>
  </si>
  <si>
    <t>Feb 18, 2026</t>
  </si>
  <si>
    <t>From Johnson family</t>
  </si>
  <si>
    <t>Amazon</t>
  </si>
  <si>
    <t>KitchenAid Mixer (Emerald)</t>
  </si>
  <si>
    <t>https://amazon.com/kitchenaid</t>
  </si>
  <si>
    <t>From college friends</t>
  </si>
  <si>
    <t>Bed Bath &amp; Beyond</t>
  </si>
  <si>
    <t>Luxury Towel Set</t>
  </si>
  <si>
    <t>https://bedbathandbeyond.com/towels</t>
  </si>
  <si>
    <t>Feb 20, 2026</t>
  </si>
  <si>
    <t>Macy's</t>
  </si>
  <si>
    <t>Crystal Decanter Set</t>
  </si>
  <si>
    <t>https://macys.com/decanter</t>
  </si>
  <si>
    <t>From coworker group</t>
  </si>
  <si>
    <t>REI</t>
  </si>
  <si>
    <t>Camping Gear Set</t>
  </si>
  <si>
    <t>https://rei.com/gear</t>
  </si>
  <si>
    <t>For honeymoon camping</t>
  </si>
  <si>
    <t>Wine Glasses (12)</t>
  </si>
  <si>
    <t>https://crateandbarrel.com/wine</t>
  </si>
  <si>
    <t>Feb 22, 2026</t>
  </si>
  <si>
    <t>Instant Pot Duo</t>
  </si>
  <si>
    <t>https://amazon.com/instantpot</t>
  </si>
  <si>
    <t>From office</t>
  </si>
  <si>
    <t>Cast Iron Skillet</t>
  </si>
  <si>
    <t>https://williams-sonoma.com/skillet</t>
  </si>
  <si>
    <t>Feb 25, 2026</t>
  </si>
  <si>
    <t>Target</t>
  </si>
  <si>
    <t>Home Decor Bundle</t>
  </si>
  <si>
    <t>https://target.com/decor</t>
  </si>
  <si>
    <t>Ordered, not delivered yet</t>
  </si>
  <si>
    <t>THANK YOU NOTE TRACKER</t>
  </si>
  <si>
    <t>Make sure every gift gets a thank-you</t>
  </si>
  <si>
    <t>20 gifts received | 8 thank-you notes sent | 12 remaining</t>
  </si>
  <si>
    <t>Gift Received</t>
  </si>
  <si>
    <t>From (Name)</t>
  </si>
  <si>
    <t>Date Received</t>
  </si>
  <si>
    <t>Amount</t>
  </si>
  <si>
    <t>Dinnerware Set</t>
  </si>
  <si>
    <t>Smith Family</t>
  </si>
  <si>
    <t>Sent</t>
  </si>
  <si>
    <t>Johnson Family</t>
  </si>
  <si>
    <t>Jan 18, 2026</t>
  </si>
  <si>
    <t>KitchenAid Mixer</t>
  </si>
  <si>
    <t>Thompson Friends</t>
  </si>
  <si>
    <t>Garcia Family</t>
  </si>
  <si>
    <t>Jan 22, 2026</t>
  </si>
  <si>
    <t>Crystal Decanter</t>
  </si>
  <si>
    <t>Work Colleagues</t>
  </si>
  <si>
    <t>Jan 25, 2026</t>
  </si>
  <si>
    <t>Camping Gear</t>
  </si>
  <si>
    <t>Davis Outdoor Club</t>
  </si>
  <si>
    <t>Jan 28, 2026</t>
  </si>
  <si>
    <t>Wine Glasses</t>
  </si>
  <si>
    <t>Lee Family</t>
  </si>
  <si>
    <t>Instant Pot</t>
  </si>
  <si>
    <t>Office Team</t>
  </si>
  <si>
    <t>Martinez Family</t>
  </si>
  <si>
    <t>Not Yet</t>
  </si>
  <si>
    <t>Brown Family</t>
  </si>
  <si>
    <t>Ordered, not delivered</t>
  </si>
  <si>
    <t>Cash Gift</t>
  </si>
  <si>
    <t>Wilson Family</t>
  </si>
  <si>
    <t>At reception</t>
  </si>
  <si>
    <t>Taylor Family</t>
  </si>
  <si>
    <t>Gift Card</t>
  </si>
  <si>
    <t>Rodriguez Family</t>
  </si>
  <si>
    <t>Luggage Set</t>
  </si>
  <si>
    <t>Anderson Family</t>
  </si>
  <si>
    <t>Board Games</t>
  </si>
  <si>
    <t>Wedding Party</t>
  </si>
  <si>
    <t>From bridesmaids/groomsmen</t>
  </si>
  <si>
    <t>CEREMONY DETAILS</t>
  </si>
  <si>
    <t>All the details for your ceremony</t>
  </si>
  <si>
    <t>BRIDE &amp; GROOM</t>
  </si>
  <si>
    <t>Bride's Full Name:</t>
  </si>
  <si>
    <t>Emily Rose Thompson</t>
  </si>
  <si>
    <t>Groom's Full Name:</t>
  </si>
  <si>
    <t>Michael David Chen</t>
  </si>
  <si>
    <t>Wedding Date:</t>
  </si>
  <si>
    <t>June 20, 2026</t>
  </si>
  <si>
    <t>Wedding Time:</t>
  </si>
  <si>
    <t>Venue:</t>
  </si>
  <si>
    <t>Officiant Name:</t>
  </si>
  <si>
    <t>Rev. Sarah Williams</t>
  </si>
  <si>
    <t>PROCESSIONAL</t>
  </si>
  <si>
    <t>Processional Song:</t>
  </si>
  <si>
    <t>Canon in D - Pachelbel</t>
  </si>
  <si>
    <t>Recessional Song:</t>
  </si>
  <si>
    <t>Marche Militaire - Schubert</t>
  </si>
  <si>
    <t>Role</t>
  </si>
  <si>
    <t>Name</t>
  </si>
  <si>
    <t>Sister of bride</t>
  </si>
  <si>
    <t>Brother of groom</t>
  </si>
  <si>
    <t>Bridesmaid</t>
  </si>
  <si>
    <t>Ashley Johnson</t>
  </si>
  <si>
    <t>Groomsman</t>
  </si>
  <si>
    <t>Christopher Davis</t>
  </si>
  <si>
    <t>Flower Girl</t>
  </si>
  <si>
    <t>Emma Garcia</t>
  </si>
  <si>
    <t>Daughter of groomsmen</t>
  </si>
  <si>
    <t>Ring Bearer</t>
  </si>
  <si>
    <t>Lucas Brown</t>
  </si>
  <si>
    <t>Son of groomsmen</t>
  </si>
  <si>
    <t>VOWS</t>
  </si>
  <si>
    <t>Vow Style:</t>
  </si>
  <si>
    <t>Personal Vows</t>
  </si>
  <si>
    <t>Vow Writer (if personal):</t>
  </si>
  <si>
    <t>READINGS</t>
  </si>
  <si>
    <t>Reader #1:</t>
  </si>
  <si>
    <t>Poem: "Sonnet 116" by Shakespeare</t>
  </si>
  <si>
    <t>Reader #2:</t>
  </si>
  <si>
    <t>Reading: "Union" by Robert Fulghum</t>
  </si>
  <si>
    <t>SPECIAL</t>
  </si>
  <si>
    <t>Unity Ceremony:</t>
  </si>
  <si>
    <t>Candle Lighting</t>
  </si>
  <si>
    <t>Special Traditions:</t>
  </si>
  <si>
    <t>Extra Notes:</t>
  </si>
  <si>
    <t>RECEPTION DETAILS</t>
  </si>
  <si>
    <t>All the details for your reception</t>
  </si>
  <si>
    <t>VENUE</t>
  </si>
  <si>
    <t>Reception Venue:</t>
  </si>
  <si>
    <t>Venue Address:</t>
  </si>
  <si>
    <t>123 Grand Boulevard</t>
  </si>
  <si>
    <t>Contact:</t>
  </si>
  <si>
    <t>Phone:</t>
  </si>
  <si>
    <t>ENTERTAINMENT</t>
  </si>
  <si>
    <t>First Dance Song:</t>
  </si>
  <si>
    <t>Perfect - Ed Sheeran</t>
  </si>
  <si>
    <t>Parent Dance Song 1:</t>
  </si>
  <si>
    <t>Then He Kissed Me - The Crystals</t>
  </si>
  <si>
    <t>Parent Dance Song 2:</t>
  </si>
  <si>
    <t>Moon River - Henry Mancini</t>
  </si>
  <si>
    <t>Bouquet Toss Song:</t>
  </si>
  <si>
    <t>Single Ladies - Beyonce</t>
  </si>
  <si>
    <t>Last Dance Song:</t>
  </si>
  <si>
    <t>Endless Love - Diana Ross</t>
  </si>
  <si>
    <t>Must-Play Songs:</t>
  </si>
  <si>
    <t>Dance hits, 80s, 90s</t>
  </si>
  <si>
    <t>Do-Not-Play List:</t>
  </si>
  <si>
    <t>Chicken Dance, Macarena</t>
  </si>
  <si>
    <t>FOOD &amp; DRINKS</t>
  </si>
  <si>
    <t>Menu Type:</t>
  </si>
  <si>
    <t>Bar Service:</t>
  </si>
  <si>
    <t>Open bar</t>
  </si>
  <si>
    <t>Cake Baker:</t>
  </si>
  <si>
    <t>Cake Flavors:</t>
  </si>
  <si>
    <t>Vanilla, Chocolate, Red Velvet</t>
  </si>
  <si>
    <t>Dietary Accommodations:</t>
  </si>
  <si>
    <t>Vegetarian, Vegan, Gluten-Free options available</t>
  </si>
  <si>
    <t>EVENTS</t>
  </si>
  <si>
    <t>Grand Entrance Song:</t>
  </si>
  <si>
    <t>Happy - Pharrell Williams</t>
  </si>
  <si>
    <t>Toasts:</t>
  </si>
  <si>
    <t>Best Man first, then MOH</t>
  </si>
  <si>
    <t>Cake Cutting Time:</t>
  </si>
  <si>
    <t>Send-off Time:</t>
  </si>
  <si>
    <t>Send-off Song:</t>
  </si>
  <si>
    <t>Don't Stop Believin' - Journey</t>
  </si>
  <si>
    <t>WEDDING PARTY &amp; ROLES</t>
  </si>
  <si>
    <t>Your VIP crew for the big day</t>
  </si>
  <si>
    <t>BRIDAL PARTY</t>
  </si>
  <si>
    <t>Responsibilities</t>
  </si>
  <si>
    <t>Gift Given?</t>
  </si>
  <si>
    <t>Bachelorette planning, emotional support, hold rings</t>
  </si>
  <si>
    <t>Help with dress, rehearsal coordination</t>
  </si>
  <si>
    <t>Decor assistance, ceremony coordination</t>
  </si>
  <si>
    <t>Bachelorette attendance, registry help</t>
  </si>
  <si>
    <t>Rehearsal dinner planning</t>
  </si>
  <si>
    <t>Walk down aisle with rings</t>
  </si>
  <si>
    <t>garcia.family@email.com</t>
  </si>
  <si>
    <t>Carry rings during ceremony</t>
  </si>
  <si>
    <t>brown.family@email.com</t>
  </si>
  <si>
    <t>GROOMSMEN</t>
  </si>
  <si>
    <t>Bachelor party planning, rehearsal coordination, hold rings</t>
  </si>
  <si>
    <t>Garter toss, guest assistance</t>
  </si>
  <si>
    <t>Usher duties, guest seating</t>
  </si>
  <si>
    <t>Vendor coordination day-of</t>
  </si>
  <si>
    <t>Setup assistance, toast preparation</t>
  </si>
  <si>
    <t>Usher</t>
  </si>
  <si>
    <t>Guest greeting, seating assistance</t>
  </si>
  <si>
    <t>Andrew White</t>
  </si>
  <si>
    <t>Guest greeting, program distribution</t>
  </si>
  <si>
    <t>EMERGENCY CONTACTS &amp; DAY-OF INFO</t>
  </si>
  <si>
    <t>Important contacts and information for your wedding day</t>
  </si>
  <si>
    <t>EMERGENCY</t>
  </si>
  <si>
    <t>Emergency Services:</t>
  </si>
  <si>
    <t>911</t>
  </si>
  <si>
    <t>Wedding Planner:</t>
  </si>
  <si>
    <t>Jane Events - 555-9001</t>
  </si>
  <si>
    <t>Bride's Name:</t>
  </si>
  <si>
    <t>Bride's Phone:</t>
  </si>
  <si>
    <t>555-0001</t>
  </si>
  <si>
    <t>Groom's Name:</t>
  </si>
  <si>
    <t>Groom's Phone:</t>
  </si>
  <si>
    <t>555-0002</t>
  </si>
  <si>
    <t>KEY VENDORS</t>
  </si>
  <si>
    <t>Venue Manager:</t>
  </si>
  <si>
    <t>Caterer:</t>
  </si>
  <si>
    <t>Photographer:</t>
  </si>
  <si>
    <t>Videographer:</t>
  </si>
  <si>
    <t>John Cinema</t>
  </si>
  <si>
    <t>Florist:</t>
  </si>
  <si>
    <t>DJ/Band:</t>
  </si>
  <si>
    <t>MARRIAGE LICENSE</t>
  </si>
  <si>
    <t>Application Date:</t>
  </si>
  <si>
    <t>License #:</t>
  </si>
  <si>
    <t>Issuing Authority:</t>
  </si>
  <si>
    <t>Pickup Date:</t>
  </si>
  <si>
    <t>Marriage Date:</t>
  </si>
  <si>
    <t>INSURANCE</t>
  </si>
  <si>
    <t>Company:</t>
  </si>
  <si>
    <t>Policy #:</t>
  </si>
  <si>
    <t>Agent Name:</t>
  </si>
  <si>
    <t>Agent Phone:</t>
  </si>
  <si>
    <t>Emergency Claim #:</t>
  </si>
  <si>
    <t>HONEYMOON PLANNER</t>
  </si>
  <si>
    <t>Plan your post-wedding getaway</t>
  </si>
  <si>
    <t>TRIP DETAILS</t>
  </si>
  <si>
    <t>Destination:</t>
  </si>
  <si>
    <t>Maldives</t>
  </si>
  <si>
    <t>Departure Date:</t>
  </si>
  <si>
    <t>June 25, 2026</t>
  </si>
  <si>
    <t>Return Date:</t>
  </si>
  <si>
    <t>July 2, 2026</t>
  </si>
  <si>
    <t>Duration (nights):</t>
  </si>
  <si>
    <t>7 nights</t>
  </si>
  <si>
    <t>Trip Budget:</t>
  </si>
  <si>
    <t>$8,000</t>
  </si>
  <si>
    <t>FLIGHTS</t>
  </si>
  <si>
    <t>Flight #1:</t>
  </si>
  <si>
    <t>Confirmation #:</t>
  </si>
  <si>
    <t>Departure Time:</t>
  </si>
  <si>
    <t>Arrival (+1 day):</t>
  </si>
  <si>
    <t>Return Flight:</t>
  </si>
  <si>
    <t>Arrival:</t>
  </si>
  <si>
    <t>ACCOMMODATION</t>
  </si>
  <si>
    <t>Hotel Name:</t>
  </si>
  <si>
    <t>Address:</t>
  </si>
  <si>
    <t>Check-in:</t>
  </si>
  <si>
    <t>Check-out:</t>
  </si>
  <si>
    <t>Confirmation Email:</t>
  </si>
  <si>
    <t>IMPORTANT</t>
  </si>
  <si>
    <t>Passport #:</t>
  </si>
  <si>
    <t>XXXXX1234</t>
  </si>
  <si>
    <t>Travel Insurance Policy #:</t>
  </si>
  <si>
    <t>TRV-2026-789456</t>
  </si>
  <si>
    <t>Embassy Contact:</t>
  </si>
  <si>
    <t>US Embassy Maldives</t>
  </si>
  <si>
    <t>Doctor at Destination:</t>
  </si>
  <si>
    <t>Island Medical Clinic</t>
  </si>
  <si>
    <t>ITINERARY</t>
  </si>
  <si>
    <t>Day</t>
  </si>
  <si>
    <t>Date</t>
  </si>
  <si>
    <t>Day 1</t>
  </si>
  <si>
    <t>June 25</t>
  </si>
  <si>
    <t>Arrival, check-in, rest</t>
  </si>
  <si>
    <t>Sunset Overwater Villa</t>
  </si>
  <si>
    <t>Day 2</t>
  </si>
  <si>
    <t>June 26</t>
  </si>
  <si>
    <t>Snorkeling, beach time</t>
  </si>
  <si>
    <t>House Reef</t>
  </si>
  <si>
    <t>Day 3</t>
  </si>
  <si>
    <t>June 27</t>
  </si>
  <si>
    <t>Couples spa day</t>
  </si>
  <si>
    <t>Overwater Spa</t>
  </si>
  <si>
    <t>Day 4</t>
  </si>
  <si>
    <t>June 28</t>
  </si>
  <si>
    <t>Island hopping tour</t>
  </si>
  <si>
    <t>Local Islands</t>
  </si>
  <si>
    <t>Day 5</t>
  </si>
  <si>
    <t>June 29</t>
  </si>
  <si>
    <t>Water sports (kayaking, paddleboarding)</t>
  </si>
  <si>
    <t>Beach</t>
  </si>
  <si>
    <t>Day 6</t>
  </si>
  <si>
    <t>June 30</t>
  </si>
  <si>
    <t>Sunset cruise, fine dining</t>
  </si>
  <si>
    <t>Private Yacht</t>
  </si>
  <si>
    <t>Day 7</t>
  </si>
  <si>
    <t>July 1</t>
  </si>
  <si>
    <t>Free day, packing</t>
  </si>
  <si>
    <t>Villa</t>
  </si>
  <si>
    <t>PACKING LIST</t>
  </si>
  <si>
    <t>Passports</t>
  </si>
  <si>
    <t>Travel documents</t>
  </si>
  <si>
    <t>Sunscreen</t>
  </si>
  <si>
    <t>Sunglasses</t>
  </si>
  <si>
    <t>Beach coverups</t>
  </si>
  <si>
    <t>Formal outfits (2)</t>
  </si>
  <si>
    <t>Casual wear</t>
  </si>
  <si>
    <t>Swimsuits (2)</t>
  </si>
  <si>
    <t>Flip flops</t>
  </si>
  <si>
    <t>Water shoes</t>
  </si>
  <si>
    <t>Snorkel gear</t>
  </si>
  <si>
    <t>Camera</t>
  </si>
  <si>
    <t>Phone charger</t>
  </si>
  <si>
    <t>Adapter</t>
  </si>
  <si>
    <t>Medications</t>
  </si>
  <si>
    <t>Toiletries</t>
  </si>
  <si>
    <t>Book/Kindle</t>
  </si>
  <si>
    <t>Gifts for staff</t>
  </si>
  <si>
    <t>Phrase book</t>
  </si>
  <si>
    <t>Insect repellent</t>
  </si>
  <si>
    <t>NOTES &amp; INSPIRATION</t>
  </si>
  <si>
    <t>All your ideas, swatches, and inspiration in one place</t>
  </si>
  <si>
    <t>COLOR PALETTE</t>
  </si>
  <si>
    <t>Navy Blue</t>
  </si>
  <si>
    <t>#000080</t>
  </si>
  <si>
    <t>Gold</t>
  </si>
  <si>
    <t>#C5A572</t>
  </si>
  <si>
    <t>Light Gold</t>
  </si>
  <si>
    <t>#F0E6D3</t>
  </si>
  <si>
    <t>Cream</t>
  </si>
  <si>
    <t>#FAF9F6</t>
  </si>
  <si>
    <t>Sage Green</t>
  </si>
  <si>
    <t>#7A9E7E</t>
  </si>
  <si>
    <t>INSPIRATION</t>
  </si>
  <si>
    <t>Image 1:</t>
  </si>
  <si>
    <t>[Paste or insert image here]</t>
  </si>
  <si>
    <t>Image 2:</t>
  </si>
  <si>
    <t>Image 3:</t>
  </si>
  <si>
    <t>Image 4:</t>
  </si>
  <si>
    <t>Image 5:</t>
  </si>
  <si>
    <t>Image 6:</t>
  </si>
  <si>
    <t>VENDOR NOTES</t>
  </si>
  <si>
    <t>Note 1:</t>
  </si>
  <si>
    <t>Note 2:</t>
  </si>
  <si>
    <t>Note 3:</t>
  </si>
  <si>
    <t>Note 4:</t>
  </si>
  <si>
    <t>Note 5:</t>
  </si>
  <si>
    <t>IDEAS &amp; WISHLIST</t>
  </si>
  <si>
    <t>Row 1:</t>
  </si>
  <si>
    <t>Row 2:</t>
  </si>
  <si>
    <t>Row 3:</t>
  </si>
  <si>
    <t>Row 4:</t>
  </si>
  <si>
    <t>Row 5:</t>
  </si>
  <si>
    <t>Row 6:</t>
  </si>
  <si>
    <t>Row 7:</t>
  </si>
  <si>
    <t>Row 8:</t>
  </si>
  <si>
    <t>Row 9:</t>
  </si>
  <si>
    <t>Row 10:</t>
  </si>
  <si>
    <t>MUST-HAVE SHOTS</t>
  </si>
  <si>
    <t>Shot 1:</t>
  </si>
  <si>
    <t>Shot 2:</t>
  </si>
  <si>
    <t>Shot 3:</t>
  </si>
  <si>
    <t>Shot 4:</t>
  </si>
  <si>
    <t>Shot 5:</t>
  </si>
  <si>
    <t>DAY-OF NOTES</t>
  </si>
  <si>
    <t>Note 6:</t>
  </si>
  <si>
    <t>Note 7:</t>
  </si>
  <si>
    <t>Note 8:</t>
  </si>
  <si>
    <t>Note 9:</t>
  </si>
  <si>
    <t>Note 10: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</si>
</sst>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0%"/>
  </numFmts>
  <fonts count="9">
    <font>
      <sz val="11"/>
      <color theme="1"/>
      <name val="Calibri"/>
      <family val="2"/>
      <scheme val="minor"/>
    </font>
    <font>
      <b/>
      <sz val="28"/>
      <color rgb="FFFFFFFF"/>
      <name val="Calibri"/>
      <family val="2"/>
      <scheme val="minor"/>
    </font>
    <font>
      <sz val="12"/>
      <color rgb="FFFFFFFF"/>
      <name val="Calibri"/>
      <family val="2"/>
      <scheme val="minor"/>
    </font>
    <font>
      <b/>
      <sz val="11"/>
      <color rgb="FF000080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color rgb="FF1A1A2E"/>
      <name val="Calibri"/>
      <family val="2"/>
      <scheme val="minor"/>
    </font>
    <font>
      <i/>
      <sz val="8"/>
      <color rgb="FF6B6B6B"/>
      <name val="Calibri"/>
      <family val="2"/>
      <scheme val="minor"/>
    </font>
    <font>
      <b/>
      <sz val="10"/>
      <color rgb="FF1A1A2E"/>
      <name val="Calibri"/>
      <family val="2"/>
      <scheme val="minor"/>
    </font>
    <font>
      <b/>
      <sz val="10"/>
      <color rgb="FF00008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0080"/>
        <bgColor indexed="64"/>
      </patternFill>
    </fill>
    <fill>
      <patternFill patternType="solid">
        <fgColor rgb="FFC5A57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9F6"/>
        <bgColor indexed="64"/>
      </patternFill>
    </fill>
    <fill>
      <patternFill patternType="solid">
        <fgColor rgb="FF7A9E7E"/>
        <bgColor indexed="64"/>
      </patternFill>
    </fill>
    <fill>
      <patternFill patternType="solid">
        <fgColor rgb="FFC4848C"/>
        <bgColor indexed="64"/>
      </patternFill>
    </fill>
    <fill>
      <patternFill patternType="solid">
        <fgColor rgb="FFD4605A"/>
        <bgColor indexed="64"/>
      </patternFill>
    </fill>
    <fill>
      <patternFill patternType="solid">
        <fgColor rgb="FFF0E6D3"/>
        <bgColor indexed="64"/>
      </patternFill>
    </fill>
  </fills>
  <borders count="5">
    <border>
      <left/>
      <right/>
      <top/>
      <bottom/>
      <diagonal/>
    </border>
    <border>
      <left style="medium">
        <color rgb="FFC5A572"/>
      </left>
      <right style="medium">
        <color rgb="FFC5A572"/>
      </right>
      <top style="medium">
        <color rgb="FFC5A572"/>
      </top>
      <bottom style="medium">
        <color rgb="FFC5A572"/>
      </bottom>
      <diagonal/>
    </border>
    <border>
      <left style="medium">
        <color rgb="FF000080"/>
      </left>
      <right style="medium">
        <color rgb="FF000080"/>
      </right>
      <top style="medium">
        <color rgb="FF000080"/>
      </top>
      <bottom style="medium">
        <color rgb="FF000080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2F2F2"/>
      </left>
      <right style="medium">
        <color rgb="FFF2F2F2"/>
      </right>
      <top style="medium">
        <color rgb="FFF2F2F2"/>
      </top>
      <bottom style="medium">
        <color rgb="FFF2F2F2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left" vertical="center"/>
    </xf>
    <xf numFmtId="164" fontId="5" fillId="4" borderId="4" xfId="0" applyNumberFormat="1" applyFont="1" applyFill="1" applyBorder="1" applyAlignment="1">
      <alignment horizontal="right" vertical="center"/>
    </xf>
    <xf numFmtId="0" fontId="5" fillId="5" borderId="4" xfId="0" applyFont="1" applyFill="1" applyBorder="1" applyAlignment="1">
      <alignment horizontal="left" vertical="center"/>
    </xf>
    <xf numFmtId="164" fontId="5" fillId="5" borderId="4" xfId="0" applyNumberFormat="1" applyFont="1" applyFill="1" applyBorder="1" applyAlignment="1">
      <alignment horizontal="right" vertical="center"/>
    </xf>
    <xf numFmtId="0" fontId="5" fillId="6" borderId="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8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horizontal="center" vertical="center"/>
    </xf>
    <xf numFmtId="165" fontId="5" fillId="5" borderId="4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/>
    </xf>
    <xf numFmtId="0" fontId="6" fillId="4" borderId="4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center" vertical="center"/>
    </xf>
    <xf numFmtId="0" fontId="5" fillId="9" borderId="4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left" vertical="center"/>
    </xf>
    <xf numFmtId="0" fontId="7" fillId="4" borderId="4" xfId="0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theme" Target="theme/theme1.xml"/><Relationship Id="rId20" Type="http://schemas.openxmlformats.org/officeDocument/2006/relationships/styles" Target="styles.xml"/><Relationship Id="rId2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Budget vs Actual by Category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Budgeted</c:v>
          </c:tx>
          <c:spPr>
            <a:solidFill>
              <a:srgbClr val="C5A572"/>
            </a:solidFill>
            <a:ln>
              <a:solidFill>
                <a:srgbClr val="C5A572"/>
              </a:solidFill>
            </a:ln>
          </c:spPr>
          <c:cat>
            <c:strRef>
              <c:f>Dashboard!$A$12:$A$26</c:f>
              <c:strCache>
                <c:ptCount val="15"/>
                <c:pt idx="1">
                  <c:v>Venue</c:v>
                </c:pt>
                <c:pt idx="2">
                  <c:v>Catering</c:v>
                </c:pt>
                <c:pt idx="3">
                  <c:v>Photography</c:v>
                </c:pt>
                <c:pt idx="4">
                  <c:v>Videography</c:v>
                </c:pt>
                <c:pt idx="5">
                  <c:v>Flowers</c:v>
                </c:pt>
                <c:pt idx="6">
                  <c:v>DJ/Band</c:v>
                </c:pt>
                <c:pt idx="7">
                  <c:v>Attire</c:v>
                </c:pt>
                <c:pt idx="8">
                  <c:v>Hair &amp; Makeup</c:v>
                </c:pt>
                <c:pt idx="9">
                  <c:v>Invitations</c:v>
                </c:pt>
                <c:pt idx="10">
                  <c:v>Favors</c:v>
                </c:pt>
                <c:pt idx="11">
                  <c:v>Decor</c:v>
                </c:pt>
                <c:pt idx="12">
                  <c:v>Transportation</c:v>
                </c:pt>
                <c:pt idx="13">
                  <c:v>Gifts</c:v>
                </c:pt>
                <c:pt idx="14">
                  <c:v>Insurance</c:v>
                </c:pt>
              </c:strCache>
            </c:strRef>
          </c:cat>
          <c:val>
            <c:numRef>
              <c:f>Dashboard!$B$12:$B$26</c:f>
              <c:numCache>
                <c:formatCode>General</c:formatCode>
                <c:ptCount val="15"/>
                <c:pt idx="1">
                  <c:v>15000</c:v>
                </c:pt>
                <c:pt idx="2">
                  <c:v>12000</c:v>
                </c:pt>
                <c:pt idx="3">
                  <c:v>4500</c:v>
                </c:pt>
                <c:pt idx="4">
                  <c:v>2500</c:v>
                </c:pt>
                <c:pt idx="5">
                  <c:v>3500</c:v>
                </c:pt>
                <c:pt idx="6">
                  <c:v>2500</c:v>
                </c:pt>
                <c:pt idx="7">
                  <c:v>3500</c:v>
                </c:pt>
                <c:pt idx="8">
                  <c:v>1200</c:v>
                </c:pt>
                <c:pt idx="9">
                  <c:v>800</c:v>
                </c:pt>
                <c:pt idx="10">
                  <c:v>500</c:v>
                </c:pt>
                <c:pt idx="11">
                  <c:v>4000</c:v>
                </c:pt>
                <c:pt idx="12">
                  <c:v>1500</c:v>
                </c:pt>
                <c:pt idx="13">
                  <c:v>2000</c:v>
                </c:pt>
                <c:pt idx="14">
                  <c:v>500</c:v>
                </c:pt>
              </c:numCache>
            </c:numRef>
          </c:val>
        </c:ser>
        <c:ser>
          <c:idx val="1"/>
          <c:order val="1"/>
          <c:tx>
            <c:v>Spent</c:v>
          </c:tx>
          <c:spPr>
            <a:solidFill>
              <a:srgbClr val="000080"/>
            </a:solidFill>
            <a:ln>
              <a:solidFill>
                <a:srgbClr val="000080"/>
              </a:solidFill>
            </a:ln>
          </c:spPr>
          <c:cat>
            <c:strRef>
              <c:f>Dashboard!$A$12:$A$26</c:f>
              <c:strCache>
                <c:ptCount val="15"/>
                <c:pt idx="1">
                  <c:v>Venue</c:v>
                </c:pt>
                <c:pt idx="2">
                  <c:v>Catering</c:v>
                </c:pt>
                <c:pt idx="3">
                  <c:v>Photography</c:v>
                </c:pt>
                <c:pt idx="4">
                  <c:v>Videography</c:v>
                </c:pt>
                <c:pt idx="5">
                  <c:v>Flowers</c:v>
                </c:pt>
                <c:pt idx="6">
                  <c:v>DJ/Band</c:v>
                </c:pt>
                <c:pt idx="7">
                  <c:v>Attire</c:v>
                </c:pt>
                <c:pt idx="8">
                  <c:v>Hair &amp; Makeup</c:v>
                </c:pt>
                <c:pt idx="9">
                  <c:v>Invitations</c:v>
                </c:pt>
                <c:pt idx="10">
                  <c:v>Favors</c:v>
                </c:pt>
                <c:pt idx="11">
                  <c:v>Decor</c:v>
                </c:pt>
                <c:pt idx="12">
                  <c:v>Transportation</c:v>
                </c:pt>
                <c:pt idx="13">
                  <c:v>Gifts</c:v>
                </c:pt>
                <c:pt idx="14">
                  <c:v>Insurance</c:v>
                </c:pt>
              </c:strCache>
            </c:strRef>
          </c:cat>
          <c:val>
            <c:numRef>
              <c:f>Dashboard!$C$12:$C$26</c:f>
              <c:numCache>
                <c:formatCode>General</c:formatCode>
                <c:ptCount val="15"/>
                <c:pt idx="1">
                  <c:v>14500</c:v>
                </c:pt>
                <c:pt idx="2">
                  <c:v>12000</c:v>
                </c:pt>
                <c:pt idx="3">
                  <c:v>4200</c:v>
                </c:pt>
                <c:pt idx="4">
                  <c:v>2300</c:v>
                </c:pt>
                <c:pt idx="5">
                  <c:v>3800</c:v>
                </c:pt>
                <c:pt idx="6">
                  <c:v>2500</c:v>
                </c:pt>
                <c:pt idx="7">
                  <c:v>3200</c:v>
                </c:pt>
                <c:pt idx="8">
                  <c:v>1100</c:v>
                </c:pt>
                <c:pt idx="9">
                  <c:v>750</c:v>
                </c:pt>
                <c:pt idx="10">
                  <c:v>480</c:v>
                </c:pt>
                <c:pt idx="11">
                  <c:v>4200</c:v>
                </c:pt>
                <c:pt idx="12">
                  <c:v>1200</c:v>
                </c:pt>
                <c:pt idx="13">
                  <c:v>1800</c:v>
                </c:pt>
                <c:pt idx="14">
                  <c:v>500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Category</a:t>
                </a:r>
              </a:p>
            </c:rich>
          </c:tx>
          <c:layout/>
        </c:title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Amount ($)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RSVP Breakdown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RSVP Breakdown</c:v>
          </c:tx>
          <c:dPt>
            <c:idx val="0"/>
            <c:spPr>
              <a:solidFill>
                <a:srgbClr val="7A9E7E"/>
              </a:solidFill>
            </c:spPr>
          </c:dPt>
          <c:dPt>
            <c:idx val="1"/>
            <c:spPr>
              <a:solidFill>
                <a:srgbClr val="C4848C"/>
              </a:solidFill>
            </c:spPr>
          </c:dPt>
          <c:dPt>
            <c:idx val="2"/>
            <c:spPr>
              <a:solidFill>
                <a:srgbClr val="D4605A"/>
              </a:solidFill>
            </c:spPr>
          </c:dPt>
          <c:dLbls>
            <c:showCatName val="1"/>
            <c:showPercent val="1"/>
          </c:dLbls>
          <c:cat>
            <c:strRef>
              <c:f>Dashboard!$A$31:$A$33</c:f>
              <c:strCache>
                <c:ptCount val="3"/>
                <c:pt idx="0">
                  <c:v>Confirmed</c:v>
                </c:pt>
                <c:pt idx="1">
                  <c:v>Pending</c:v>
                </c:pt>
                <c:pt idx="2">
                  <c:v>Declined</c:v>
                </c:pt>
              </c:strCache>
            </c:strRef>
          </c:cat>
          <c:val>
            <c:numRef>
              <c:f>Dashboard!$B$31:$B$33</c:f>
              <c:numCache>
                <c:formatCode>General</c:formatCode>
                <c:ptCount val="3"/>
                <c:pt idx="0">
                  <c:v>53</c:v>
                </c:pt>
                <c:pt idx="1">
                  <c:v>5</c:v>
                </c:pt>
                <c:pt idx="2">
                  <c:v>7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0</xdr:rowOff>
    </xdr:from>
    <xdr:to>
      <xdr:col>5</xdr:col>
      <xdr:colOff>476250</xdr:colOff>
      <xdr:row>50</xdr:row>
      <xdr:rowOff>133350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29</xdr:row>
      <xdr:rowOff>0</xdr:rowOff>
    </xdr:from>
    <xdr:to>
      <xdr:col>9</xdr:col>
      <xdr:colOff>361950</xdr:colOff>
      <xdr:row>43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hyperlink" Target="https://crateandbarrel.com/dinnerware" TargetMode="External"/><Relationship Id="rId2" Type="http://schemas.openxmlformats.org/officeDocument/2006/relationships/hyperlink" Target="https://williams-sonoma.com/mixer" TargetMode="External"/><Relationship Id="rId3" Type="http://schemas.openxmlformats.org/officeDocument/2006/relationships/hyperlink" Target="https://amazon.com/kitchenaid" TargetMode="External"/><Relationship Id="rId4" Type="http://schemas.openxmlformats.org/officeDocument/2006/relationships/hyperlink" Target="https://bedbathandbeyond.com/towels" TargetMode="External"/><Relationship Id="rId5" Type="http://schemas.openxmlformats.org/officeDocument/2006/relationships/hyperlink" Target="https://macys.com/decanter" TargetMode="External"/><Relationship Id="rId6" Type="http://schemas.openxmlformats.org/officeDocument/2006/relationships/hyperlink" Target="https://rei.com/gear" TargetMode="External"/><Relationship Id="rId7" Type="http://schemas.openxmlformats.org/officeDocument/2006/relationships/hyperlink" Target="https://crateandbarrel.com/wine" TargetMode="External"/><Relationship Id="rId8" Type="http://schemas.openxmlformats.org/officeDocument/2006/relationships/hyperlink" Target="https://amazon.com/instantpot" TargetMode="External"/><Relationship Id="rId9" Type="http://schemas.openxmlformats.org/officeDocument/2006/relationships/hyperlink" Target="https://williams-sonoma.com/skillet" TargetMode="External"/><Relationship Id="rId10" Type="http://schemas.openxmlformats.org/officeDocument/2006/relationships/hyperlink" Target="https://target.com/deco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0080"/>
  </sheetPr>
  <dimension ref="A1:F41"/>
  <sheetViews>
    <sheetView tabSelected="1" workbookViewId="0"/>
  </sheetViews>
  <sheetFormatPr defaultRowHeight="15"/>
  <cols>
    <col min="1" max="1" width="3.7109375" customWidth="1"/>
    <col min="2" max="6" width="18.7109375" customWidth="1"/>
    <col min="7" max="7" width="3.7109375" customWidth="1"/>
    <col min="8" max="12" width="18.7109375" customWidth="1"/>
    <col min="13" max="13" width="3.7109375" customWidth="1"/>
  </cols>
  <sheetData>
    <row r="1" spans="1:6" ht="50" customHeight="1">
      <c r="A1" s="1" t="s">
        <v>0</v>
      </c>
      <c r="B1" s="1"/>
      <c r="C1" s="1"/>
      <c r="D1" s="1"/>
      <c r="E1" s="1"/>
      <c r="F1" s="1"/>
    </row>
    <row r="2" spans="1:6" ht="30" customHeight="1">
      <c r="A2" s="2" t="s">
        <v>1</v>
      </c>
      <c r="B2" s="2"/>
      <c r="C2" s="2"/>
      <c r="D2" s="2"/>
      <c r="E2" s="2"/>
      <c r="F2" s="2"/>
    </row>
    <row r="3" spans="1:6" ht="25" customHeight="1"/>
    <row r="4" spans="1:6"/>
    <row r="5" spans="1:6" ht="25" customHeight="1"/>
    <row r="6" spans="1:6" ht="45" customHeight="1"/>
    <row r="7" spans="1:6" ht="25" customHeight="1"/>
    <row r="9" spans="1:6">
      <c r="A9" s="3" t="s">
        <v>2</v>
      </c>
      <c r="B9" s="3"/>
      <c r="C9" s="3"/>
      <c r="D9" s="3"/>
      <c r="E9" s="3"/>
      <c r="F9" s="3"/>
    </row>
    <row r="10" spans="1:6" ht="25" customHeight="1"/>
    <row r="11" spans="1:6" ht="20" customHeight="1">
      <c r="A11" s="4" t="s">
        <v>3</v>
      </c>
      <c r="B11" s="4" t="s">
        <v>4</v>
      </c>
      <c r="C11" s="4" t="s">
        <v>5</v>
      </c>
    </row>
    <row r="13" spans="1:6">
      <c r="A13" s="5" t="s">
        <v>6</v>
      </c>
      <c r="B13" s="6">
        <v>15000</v>
      </c>
      <c r="C13" s="6">
        <v>14500</v>
      </c>
    </row>
    <row r="14" spans="1:6">
      <c r="A14" s="7" t="s">
        <v>7</v>
      </c>
      <c r="B14" s="8">
        <v>12000</v>
      </c>
      <c r="C14" s="8">
        <v>12000</v>
      </c>
    </row>
    <row r="15" spans="1:6">
      <c r="A15" s="5" t="s">
        <v>8</v>
      </c>
      <c r="B15" s="6">
        <v>4500</v>
      </c>
      <c r="C15" s="6">
        <v>4200</v>
      </c>
    </row>
    <row r="16" spans="1:6">
      <c r="A16" s="7" t="s">
        <v>9</v>
      </c>
      <c r="B16" s="8">
        <v>2500</v>
      </c>
      <c r="C16" s="8">
        <v>2300</v>
      </c>
    </row>
    <row r="17" spans="1:6">
      <c r="A17" s="5" t="s">
        <v>10</v>
      </c>
      <c r="B17" s="6">
        <v>3500</v>
      </c>
      <c r="C17" s="6">
        <v>3800</v>
      </c>
    </row>
    <row r="18" spans="1:6">
      <c r="A18" s="7" t="s">
        <v>11</v>
      </c>
      <c r="B18" s="8">
        <v>2500</v>
      </c>
      <c r="C18" s="8">
        <v>2500</v>
      </c>
    </row>
    <row r="19" spans="1:6">
      <c r="A19" s="5" t="s">
        <v>12</v>
      </c>
      <c r="B19" s="6">
        <v>3500</v>
      </c>
      <c r="C19" s="6">
        <v>3200</v>
      </c>
    </row>
    <row r="20" spans="1:6">
      <c r="A20" s="7" t="s">
        <v>13</v>
      </c>
      <c r="B20" s="8">
        <v>1200</v>
      </c>
      <c r="C20" s="8">
        <v>1100</v>
      </c>
    </row>
    <row r="21" spans="1:6">
      <c r="A21" s="5" t="s">
        <v>14</v>
      </c>
      <c r="B21" s="6">
        <v>800</v>
      </c>
      <c r="C21" s="6">
        <v>750</v>
      </c>
    </row>
    <row r="22" spans="1:6">
      <c r="A22" s="7" t="s">
        <v>15</v>
      </c>
      <c r="B22" s="8">
        <v>500</v>
      </c>
      <c r="C22" s="8">
        <v>480</v>
      </c>
    </row>
    <row r="23" spans="1:6">
      <c r="A23" s="5" t="s">
        <v>16</v>
      </c>
      <c r="B23" s="6">
        <v>4000</v>
      </c>
      <c r="C23" s="6">
        <v>4200</v>
      </c>
    </row>
    <row r="24" spans="1:6">
      <c r="A24" s="7" t="s">
        <v>17</v>
      </c>
      <c r="B24" s="8">
        <v>1500</v>
      </c>
      <c r="C24" s="8">
        <v>1200</v>
      </c>
    </row>
    <row r="25" spans="1:6">
      <c r="A25" s="5" t="s">
        <v>18</v>
      </c>
      <c r="B25" s="6">
        <v>2000</v>
      </c>
      <c r="C25" s="6">
        <v>1800</v>
      </c>
    </row>
    <row r="26" spans="1:6">
      <c r="A26" s="7" t="s">
        <v>19</v>
      </c>
      <c r="B26" s="8">
        <v>500</v>
      </c>
      <c r="C26" s="8">
        <v>500</v>
      </c>
    </row>
    <row r="27" spans="1:6">
      <c r="A27" s="5" t="s">
        <v>20</v>
      </c>
      <c r="B27" s="6">
        <v>3000</v>
      </c>
      <c r="C27" s="6">
        <v>2800</v>
      </c>
    </row>
    <row r="28" spans="1:6">
      <c r="A28" s="3" t="s">
        <v>21</v>
      </c>
      <c r="B28" s="3"/>
      <c r="C28" s="3"/>
      <c r="D28" s="3"/>
      <c r="E28" s="3"/>
      <c r="F28" s="3"/>
    </row>
    <row r="29" spans="1:6" ht="25" customHeight="1"/>
    <row r="30" spans="1:6">
      <c r="A30" s="4" t="s">
        <v>22</v>
      </c>
      <c r="B30" s="4" t="s">
        <v>23</v>
      </c>
    </row>
    <row r="31" spans="1:6">
      <c r="A31" s="9" t="s">
        <v>24</v>
      </c>
      <c r="B31" s="10">
        <v>53</v>
      </c>
    </row>
    <row r="32" spans="1:6">
      <c r="A32" s="11" t="s">
        <v>25</v>
      </c>
      <c r="B32" s="10">
        <v>5</v>
      </c>
    </row>
    <row r="33" spans="1:6">
      <c r="A33" s="12" t="s">
        <v>26</v>
      </c>
      <c r="B33" s="10">
        <v>7</v>
      </c>
    </row>
    <row r="34" spans="1:6">
      <c r="A34" s="13" t="s">
        <v>27</v>
      </c>
      <c r="B34" s="13">
        <v>65</v>
      </c>
    </row>
    <row r="36" spans="1:6">
      <c r="A36" s="3" t="s">
        <v>28</v>
      </c>
      <c r="B36" s="3"/>
      <c r="C36" s="3"/>
      <c r="D36" s="3"/>
      <c r="E36" s="3"/>
      <c r="F36" s="3"/>
    </row>
    <row r="37" spans="1:6" ht="25" customHeight="1">
      <c r="A37" s="4" t="s">
        <v>29</v>
      </c>
      <c r="B37" s="4" t="s">
        <v>30</v>
      </c>
      <c r="C37" s="4"/>
      <c r="D37" s="4"/>
      <c r="E37" s="4"/>
      <c r="F37" s="4"/>
    </row>
    <row r="39" spans="1:6">
      <c r="A39" s="14" t="s">
        <v>31</v>
      </c>
      <c r="B39" s="14"/>
      <c r="C39" s="14"/>
      <c r="D39" s="14"/>
      <c r="E39" s="14"/>
      <c r="F39" s="14"/>
    </row>
    <row r="40" spans="1:6">
      <c r="A40" s="14" t="s">
        <v>32</v>
      </c>
      <c r="B40" s="14"/>
      <c r="C40" s="14"/>
      <c r="D40" s="14"/>
      <c r="E40" s="14"/>
      <c r="F40" s="14"/>
    </row>
    <row r="41" spans="1:6">
      <c r="A41" s="14" t="s">
        <v>33</v>
      </c>
      <c r="B41" s="14"/>
      <c r="C41" s="14"/>
      <c r="D41" s="14"/>
      <c r="E41" s="14"/>
      <c r="F41" s="14"/>
    </row>
  </sheetData>
  <mergeCells count="9">
    <mergeCell ref="A1:F1"/>
    <mergeCell ref="A2:F2"/>
    <mergeCell ref="A9:F9"/>
    <mergeCell ref="A28:F28"/>
    <mergeCell ref="A36:F36"/>
    <mergeCell ref="B37:F37"/>
    <mergeCell ref="B39:F39"/>
    <mergeCell ref="B40:F40"/>
    <mergeCell ref="B41:F4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5A572"/>
  </sheetPr>
  <dimension ref="A1:F26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20.7109375" customWidth="1"/>
    <col min="2" max="4" width="16.7109375" customWidth="1"/>
    <col min="5" max="5" width="12.7109375" customWidth="1"/>
    <col min="6" max="6" width="10.7109375" customWidth="1"/>
  </cols>
  <sheetData>
    <row r="1" spans="1:6" ht="50" customHeight="1">
      <c r="A1" s="1" t="s">
        <v>34</v>
      </c>
      <c r="B1" s="1"/>
      <c r="C1" s="1"/>
      <c r="D1" s="1"/>
      <c r="E1" s="1"/>
      <c r="F1" s="1"/>
    </row>
    <row r="2" spans="1:6" ht="25" customHeight="1">
      <c r="A2" s="2" t="s">
        <v>35</v>
      </c>
      <c r="B2" s="2"/>
      <c r="C2" s="2"/>
      <c r="D2" s="2"/>
      <c r="E2" s="2"/>
      <c r="F2" s="2"/>
    </row>
    <row r="3" spans="1:6" ht="25" customHeight="1">
      <c r="A3" s="5" t="s">
        <v>36</v>
      </c>
      <c r="B3" s="5"/>
      <c r="C3" s="5"/>
      <c r="D3" s="6">
        <v>75000</v>
      </c>
      <c r="E3" s="6"/>
      <c r="F3" s="6"/>
    </row>
    <row r="4" spans="1:6"/>
    <row r="5" spans="1:6" ht="25" customHeight="1">
      <c r="A5" s="4" t="s">
        <v>3</v>
      </c>
      <c r="B5" s="4" t="s">
        <v>37</v>
      </c>
      <c r="C5" s="4" t="s">
        <v>38</v>
      </c>
      <c r="D5" s="4" t="s">
        <v>39</v>
      </c>
      <c r="E5" s="4" t="s">
        <v>40</v>
      </c>
      <c r="F5" s="4" t="s">
        <v>41</v>
      </c>
    </row>
    <row r="6" spans="1:6">
      <c r="A6" s="5" t="s">
        <v>6</v>
      </c>
      <c r="B6" s="6">
        <v>15000</v>
      </c>
      <c r="C6" s="6">
        <v>14500</v>
      </c>
      <c r="D6" s="6">
        <f>B6-C6</f>
        <v>0</v>
      </c>
      <c r="E6" s="15">
        <f>C6/B6</f>
        <v>0</v>
      </c>
      <c r="F6" s="10" t="s">
        <v>42</v>
      </c>
    </row>
    <row r="7" spans="1:6">
      <c r="A7" s="7" t="s">
        <v>7</v>
      </c>
      <c r="B7" s="8">
        <v>12000</v>
      </c>
      <c r="C7" s="8">
        <v>12000</v>
      </c>
      <c r="D7" s="8">
        <f>B7-C7</f>
        <v>0</v>
      </c>
      <c r="E7" s="16">
        <f>C7/B7</f>
        <v>0</v>
      </c>
      <c r="F7" s="10" t="s">
        <v>42</v>
      </c>
    </row>
    <row r="8" spans="1:6">
      <c r="A8" s="5" t="s">
        <v>8</v>
      </c>
      <c r="B8" s="6">
        <v>4500</v>
      </c>
      <c r="C8" s="6">
        <v>4200</v>
      </c>
      <c r="D8" s="6">
        <f>B8-C8</f>
        <v>0</v>
      </c>
      <c r="E8" s="15">
        <f>C8/B8</f>
        <v>0</v>
      </c>
      <c r="F8" s="10" t="s">
        <v>42</v>
      </c>
    </row>
    <row r="9" spans="1:6">
      <c r="A9" s="7" t="s">
        <v>9</v>
      </c>
      <c r="B9" s="8">
        <v>2500</v>
      </c>
      <c r="C9" s="8">
        <v>2300</v>
      </c>
      <c r="D9" s="8">
        <f>B9-C9</f>
        <v>0</v>
      </c>
      <c r="E9" s="16">
        <f>C9/B9</f>
        <v>0</v>
      </c>
      <c r="F9" s="10" t="s">
        <v>42</v>
      </c>
    </row>
    <row r="10" spans="1:6">
      <c r="A10" s="5" t="s">
        <v>10</v>
      </c>
      <c r="B10" s="6">
        <v>3500</v>
      </c>
      <c r="C10" s="6">
        <v>3800</v>
      </c>
      <c r="D10" s="6">
        <f>B10-C10</f>
        <v>0</v>
      </c>
      <c r="E10" s="15">
        <f>C10/B10</f>
        <v>0</v>
      </c>
      <c r="F10" s="10" t="s">
        <v>42</v>
      </c>
    </row>
    <row r="11" spans="1:6">
      <c r="A11" s="7" t="s">
        <v>11</v>
      </c>
      <c r="B11" s="8">
        <v>2500</v>
      </c>
      <c r="C11" s="8">
        <v>2500</v>
      </c>
      <c r="D11" s="8">
        <f>B11-C11</f>
        <v>0</v>
      </c>
      <c r="E11" s="16">
        <f>C11/B11</f>
        <v>0</v>
      </c>
      <c r="F11" s="10" t="s">
        <v>42</v>
      </c>
    </row>
    <row r="12" spans="1:6">
      <c r="A12" s="5" t="s">
        <v>12</v>
      </c>
      <c r="B12" s="6">
        <v>3500</v>
      </c>
      <c r="C12" s="6">
        <v>3200</v>
      </c>
      <c r="D12" s="6">
        <f>B12-C12</f>
        <v>0</v>
      </c>
      <c r="E12" s="15">
        <f>C12/B12</f>
        <v>0</v>
      </c>
      <c r="F12" s="10" t="s">
        <v>42</v>
      </c>
    </row>
    <row r="13" spans="1:6">
      <c r="A13" s="7" t="s">
        <v>13</v>
      </c>
      <c r="B13" s="8">
        <v>1200</v>
      </c>
      <c r="C13" s="8">
        <v>1100</v>
      </c>
      <c r="D13" s="8">
        <f>B13-C13</f>
        <v>0</v>
      </c>
      <c r="E13" s="16">
        <f>C13/B13</f>
        <v>0</v>
      </c>
      <c r="F13" s="10" t="s">
        <v>42</v>
      </c>
    </row>
    <row r="14" spans="1:6">
      <c r="A14" s="5" t="s">
        <v>14</v>
      </c>
      <c r="B14" s="6">
        <v>800</v>
      </c>
      <c r="C14" s="6">
        <v>750</v>
      </c>
      <c r="D14" s="6">
        <f>B14-C14</f>
        <v>0</v>
      </c>
      <c r="E14" s="15">
        <f>C14/B14</f>
        <v>0</v>
      </c>
      <c r="F14" s="10" t="s">
        <v>42</v>
      </c>
    </row>
    <row r="15" spans="1:6">
      <c r="A15" s="7" t="s">
        <v>15</v>
      </c>
      <c r="B15" s="8">
        <v>500</v>
      </c>
      <c r="C15" s="8">
        <v>480</v>
      </c>
      <c r="D15" s="8">
        <f>B15-C15</f>
        <v>0</v>
      </c>
      <c r="E15" s="16">
        <f>C15/B15</f>
        <v>0</v>
      </c>
      <c r="F15" s="10" t="s">
        <v>42</v>
      </c>
    </row>
    <row r="16" spans="1:6">
      <c r="A16" s="5" t="s">
        <v>16</v>
      </c>
      <c r="B16" s="6">
        <v>4000</v>
      </c>
      <c r="C16" s="6">
        <v>4200</v>
      </c>
      <c r="D16" s="6">
        <f>B16-C16</f>
        <v>0</v>
      </c>
      <c r="E16" s="15">
        <f>C16/B16</f>
        <v>0</v>
      </c>
      <c r="F16" s="10" t="s">
        <v>42</v>
      </c>
    </row>
    <row r="17" spans="1:6">
      <c r="A17" s="7" t="s">
        <v>17</v>
      </c>
      <c r="B17" s="8">
        <v>1500</v>
      </c>
      <c r="C17" s="8">
        <v>1200</v>
      </c>
      <c r="D17" s="8">
        <f>B17-C17</f>
        <v>0</v>
      </c>
      <c r="E17" s="16">
        <f>C17/B17</f>
        <v>0</v>
      </c>
      <c r="F17" s="10" t="s">
        <v>42</v>
      </c>
    </row>
    <row r="18" spans="1:6">
      <c r="A18" s="5" t="s">
        <v>18</v>
      </c>
      <c r="B18" s="6">
        <v>2000</v>
      </c>
      <c r="C18" s="6">
        <v>1800</v>
      </c>
      <c r="D18" s="6">
        <f>B18-C18</f>
        <v>0</v>
      </c>
      <c r="E18" s="15">
        <f>C18/B18</f>
        <v>0</v>
      </c>
      <c r="F18" s="10" t="s">
        <v>42</v>
      </c>
    </row>
    <row r="19" spans="1:6">
      <c r="A19" s="7" t="s">
        <v>19</v>
      </c>
      <c r="B19" s="8">
        <v>500</v>
      </c>
      <c r="C19" s="8">
        <v>500</v>
      </c>
      <c r="D19" s="8">
        <f>B19-C19</f>
        <v>0</v>
      </c>
      <c r="E19" s="16">
        <f>C19/B19</f>
        <v>0</v>
      </c>
      <c r="F19" s="10" t="s">
        <v>42</v>
      </c>
    </row>
    <row r="20" spans="1:6">
      <c r="A20" s="5" t="s">
        <v>20</v>
      </c>
      <c r="B20" s="6">
        <v>3000</v>
      </c>
      <c r="C20" s="6">
        <v>2800</v>
      </c>
      <c r="D20" s="6">
        <f>B20-C20</f>
        <v>0</v>
      </c>
      <c r="E20" s="15">
        <f>C20/B20</f>
        <v>0</v>
      </c>
      <c r="F20" s="10" t="s">
        <v>43</v>
      </c>
    </row>
    <row r="21" spans="1:6" ht="25" customHeight="1">
      <c r="A21" s="17" t="s">
        <v>44</v>
      </c>
      <c r="B21" s="17">
        <f>SUM(B6:B20)</f>
        <v>0</v>
      </c>
      <c r="C21" s="17">
        <f>SUM(C6:C20)</f>
        <v>0</v>
      </c>
      <c r="D21" s="17">
        <f>B21-C21</f>
        <v>0</v>
      </c>
      <c r="E21" s="17">
        <f>C21/B21</f>
        <v>0</v>
      </c>
      <c r="F21" s="17"/>
    </row>
    <row r="22" spans="1:6">
      <c r="A22" s="3" t="s">
        <v>45</v>
      </c>
      <c r="B22" s="3"/>
      <c r="C22" s="3"/>
      <c r="D22" s="3"/>
      <c r="E22" s="3"/>
      <c r="F22" s="3"/>
    </row>
    <row r="23" spans="1:6" ht="25" customHeight="1">
      <c r="A23" s="5" t="s">
        <v>46</v>
      </c>
      <c r="B23" s="6">
        <f>B21</f>
        <v>0</v>
      </c>
    </row>
    <row r="24" spans="1:6">
      <c r="A24" s="5" t="s">
        <v>47</v>
      </c>
      <c r="B24" s="6">
        <f>C21</f>
        <v>0</v>
      </c>
    </row>
    <row r="25" spans="1:6">
      <c r="A25" s="5" t="s">
        <v>48</v>
      </c>
      <c r="B25" s="6">
        <f>B21-C21</f>
        <v>0</v>
      </c>
    </row>
    <row r="26" spans="1:6">
      <c r="A26" s="5" t="s">
        <v>49</v>
      </c>
      <c r="B26" s="6" t="s">
        <v>10</v>
      </c>
    </row>
  </sheetData>
  <mergeCells count="5">
    <mergeCell ref="A1:F1"/>
    <mergeCell ref="A2:F2"/>
    <mergeCell ref="A3:C3"/>
    <mergeCell ref="D3:F3"/>
    <mergeCell ref="A22:F2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3D8B8B"/>
  </sheetPr>
  <dimension ref="A1:J25"/>
  <sheetViews>
    <sheetView workbookViewId="0">
      <pane ySplit="4" topLeftCell="A5" activePane="bottomLeft" state="frozen"/>
      <selection pane="bottomLeft"/>
    </sheetView>
  </sheetViews>
  <sheetFormatPr defaultRowHeight="15"/>
  <cols>
    <col min="1" max="2" width="18.7109375" customWidth="1"/>
    <col min="3" max="3" width="28.7109375" customWidth="1"/>
    <col min="4" max="4" width="15.7109375" customWidth="1"/>
    <col min="5" max="5" width="14.7109375" customWidth="1"/>
    <col min="6" max="6" width="10.7109375" customWidth="1"/>
    <col min="7" max="7" width="16.7109375" customWidth="1"/>
    <col min="8" max="8" width="10.7109375" customWidth="1"/>
    <col min="9" max="9" width="12.7109375" customWidth="1"/>
    <col min="10" max="10" width="25.7109375" customWidth="1"/>
  </cols>
  <sheetData>
    <row r="1" spans="1:10" ht="50" customHeight="1">
      <c r="A1" s="1" t="s">
        <v>50</v>
      </c>
      <c r="B1" s="1"/>
      <c r="C1" s="1"/>
      <c r="D1" s="1"/>
      <c r="E1" s="1"/>
      <c r="F1" s="1"/>
      <c r="G1" s="1"/>
      <c r="H1" s="1"/>
      <c r="I1" s="1"/>
      <c r="J1" s="1"/>
    </row>
    <row r="2" spans="1:10" ht="25" customHeight="1">
      <c r="A2" s="2" t="s">
        <v>51</v>
      </c>
      <c r="B2" s="2"/>
      <c r="C2" s="2"/>
      <c r="D2" s="2"/>
      <c r="E2" s="2"/>
      <c r="F2" s="2"/>
      <c r="G2" s="2"/>
      <c r="H2" s="2"/>
      <c r="I2" s="2"/>
      <c r="J2" s="2"/>
    </row>
    <row r="3" spans="1:10" ht="30" customHeight="1">
      <c r="A3" s="4" t="s">
        <v>52</v>
      </c>
      <c r="C3" s="9" t="s">
        <v>53</v>
      </c>
      <c r="E3" s="11" t="s">
        <v>54</v>
      </c>
      <c r="G3" s="12" t="s">
        <v>55</v>
      </c>
      <c r="I3" s="13" t="s">
        <v>56</v>
      </c>
    </row>
    <row r="4" spans="1:10"/>
    <row r="5" spans="1:10" ht="30" customHeight="1">
      <c r="A5" s="4" t="s">
        <v>57</v>
      </c>
      <c r="B5" s="4" t="s">
        <v>58</v>
      </c>
      <c r="C5" s="4" t="s">
        <v>59</v>
      </c>
      <c r="D5" s="4" t="s">
        <v>60</v>
      </c>
      <c r="E5" s="4" t="s">
        <v>22</v>
      </c>
      <c r="F5" s="4" t="s">
        <v>61</v>
      </c>
      <c r="G5" s="4" t="s">
        <v>62</v>
      </c>
      <c r="H5" s="4" t="s">
        <v>63</v>
      </c>
      <c r="I5" s="4" t="s">
        <v>64</v>
      </c>
      <c r="J5" s="4" t="s">
        <v>65</v>
      </c>
    </row>
    <row r="6" spans="1:10">
      <c r="A6" s="5" t="s">
        <v>66</v>
      </c>
      <c r="B6" s="5" t="s">
        <v>67</v>
      </c>
      <c r="C6" s="5" t="s">
        <v>68</v>
      </c>
      <c r="D6" s="5" t="s">
        <v>69</v>
      </c>
      <c r="E6" s="9" t="s">
        <v>24</v>
      </c>
      <c r="F6" s="5">
        <v>2</v>
      </c>
      <c r="G6" s="5" t="s">
        <v>70</v>
      </c>
      <c r="H6" s="5">
        <v>1</v>
      </c>
      <c r="I6" s="5" t="s">
        <v>42</v>
      </c>
      <c r="J6" s="5" t="s">
        <v>71</v>
      </c>
    </row>
    <row r="7" spans="1:10">
      <c r="A7" s="7" t="s">
        <v>72</v>
      </c>
      <c r="B7" s="7" t="s">
        <v>73</v>
      </c>
      <c r="C7" s="7" t="s">
        <v>74</v>
      </c>
      <c r="D7" s="7" t="s">
        <v>75</v>
      </c>
      <c r="E7" s="9" t="s">
        <v>24</v>
      </c>
      <c r="F7" s="7">
        <v>2</v>
      </c>
      <c r="G7" s="7" t="s">
        <v>76</v>
      </c>
      <c r="H7" s="7">
        <v>1</v>
      </c>
      <c r="I7" s="7" t="s">
        <v>42</v>
      </c>
      <c r="J7" s="7" t="s">
        <v>77</v>
      </c>
    </row>
    <row r="8" spans="1:10">
      <c r="A8" s="5" t="s">
        <v>78</v>
      </c>
      <c r="B8" s="5" t="s">
        <v>79</v>
      </c>
      <c r="C8" s="5" t="s">
        <v>80</v>
      </c>
      <c r="D8" s="5" t="s">
        <v>81</v>
      </c>
      <c r="E8" s="9" t="s">
        <v>24</v>
      </c>
      <c r="F8" s="5">
        <v>1</v>
      </c>
      <c r="G8" s="5" t="s">
        <v>70</v>
      </c>
      <c r="H8" s="5">
        <v>2</v>
      </c>
      <c r="I8" s="5" t="s">
        <v>42</v>
      </c>
      <c r="J8" s="5"/>
    </row>
    <row r="9" spans="1:10">
      <c r="A9" s="7" t="s">
        <v>82</v>
      </c>
      <c r="B9" s="7" t="s">
        <v>83</v>
      </c>
      <c r="C9" s="7" t="s">
        <v>84</v>
      </c>
      <c r="D9" s="7" t="s">
        <v>85</v>
      </c>
      <c r="E9" s="9" t="s">
        <v>24</v>
      </c>
      <c r="F9" s="7">
        <v>2</v>
      </c>
      <c r="G9" s="7" t="s">
        <v>70</v>
      </c>
      <c r="H9" s="7">
        <v>2</v>
      </c>
      <c r="I9" s="7" t="s">
        <v>42</v>
      </c>
      <c r="J9" s="7"/>
    </row>
    <row r="10" spans="1:10">
      <c r="A10" s="5" t="s">
        <v>86</v>
      </c>
      <c r="B10" s="5" t="s">
        <v>87</v>
      </c>
      <c r="C10" s="5" t="s">
        <v>88</v>
      </c>
      <c r="D10" s="5" t="s">
        <v>89</v>
      </c>
      <c r="E10" s="9" t="s">
        <v>24</v>
      </c>
      <c r="F10" s="5">
        <v>2</v>
      </c>
      <c r="G10" s="5" t="s">
        <v>90</v>
      </c>
      <c r="H10" s="5">
        <v>3</v>
      </c>
      <c r="I10" s="5" t="s">
        <v>43</v>
      </c>
      <c r="J10" s="5"/>
    </row>
    <row r="11" spans="1:10">
      <c r="A11" s="7" t="s">
        <v>91</v>
      </c>
      <c r="B11" s="7" t="s">
        <v>92</v>
      </c>
      <c r="C11" s="7" t="s">
        <v>93</v>
      </c>
      <c r="D11" s="7" t="s">
        <v>94</v>
      </c>
      <c r="E11" s="9" t="s">
        <v>24</v>
      </c>
      <c r="F11" s="7">
        <v>1</v>
      </c>
      <c r="G11" s="7" t="s">
        <v>70</v>
      </c>
      <c r="H11" s="7">
        <v>3</v>
      </c>
      <c r="I11" s="7" t="s">
        <v>43</v>
      </c>
      <c r="J11" s="7"/>
    </row>
    <row r="12" spans="1:10">
      <c r="A12" s="5" t="s">
        <v>95</v>
      </c>
      <c r="B12" s="5" t="s">
        <v>96</v>
      </c>
      <c r="C12" s="5" t="s">
        <v>97</v>
      </c>
      <c r="D12" s="5" t="s">
        <v>98</v>
      </c>
      <c r="E12" s="9" t="s">
        <v>24</v>
      </c>
      <c r="F12" s="5">
        <v>2</v>
      </c>
      <c r="G12" s="5" t="s">
        <v>76</v>
      </c>
      <c r="H12" s="5">
        <v>4</v>
      </c>
      <c r="I12" s="5" t="s">
        <v>42</v>
      </c>
      <c r="J12" s="5"/>
    </row>
    <row r="13" spans="1:10">
      <c r="A13" s="7" t="s">
        <v>99</v>
      </c>
      <c r="B13" s="7" t="s">
        <v>100</v>
      </c>
      <c r="C13" s="7" t="s">
        <v>101</v>
      </c>
      <c r="D13" s="7" t="s">
        <v>102</v>
      </c>
      <c r="E13" s="9" t="s">
        <v>24</v>
      </c>
      <c r="F13" s="7">
        <v>2</v>
      </c>
      <c r="G13" s="7" t="s">
        <v>70</v>
      </c>
      <c r="H13" s="7">
        <v>4</v>
      </c>
      <c r="I13" s="7" t="s">
        <v>43</v>
      </c>
      <c r="J13" s="7"/>
    </row>
    <row r="14" spans="1:10">
      <c r="A14" s="5" t="s">
        <v>103</v>
      </c>
      <c r="B14" s="5" t="s">
        <v>104</v>
      </c>
      <c r="C14" s="5" t="s">
        <v>105</v>
      </c>
      <c r="D14" s="5" t="s">
        <v>106</v>
      </c>
      <c r="E14" s="9" t="s">
        <v>24</v>
      </c>
      <c r="F14" s="5">
        <v>1</v>
      </c>
      <c r="G14" s="5" t="s">
        <v>107</v>
      </c>
      <c r="H14" s="5">
        <v>5</v>
      </c>
      <c r="I14" s="5" t="s">
        <v>43</v>
      </c>
      <c r="J14" s="5"/>
    </row>
    <row r="15" spans="1:10">
      <c r="A15" s="7" t="s">
        <v>108</v>
      </c>
      <c r="B15" s="7" t="s">
        <v>109</v>
      </c>
      <c r="C15" s="7" t="s">
        <v>110</v>
      </c>
      <c r="D15" s="7" t="s">
        <v>111</v>
      </c>
      <c r="E15" s="9" t="s">
        <v>24</v>
      </c>
      <c r="F15" s="7">
        <v>2</v>
      </c>
      <c r="G15" s="7" t="s">
        <v>70</v>
      </c>
      <c r="H15" s="7">
        <v>5</v>
      </c>
      <c r="I15" s="7" t="s">
        <v>42</v>
      </c>
      <c r="J15" s="7"/>
    </row>
    <row r="16" spans="1:10">
      <c r="A16" s="5" t="s">
        <v>112</v>
      </c>
      <c r="B16" s="5" t="s">
        <v>113</v>
      </c>
      <c r="C16" s="5" t="s">
        <v>114</v>
      </c>
      <c r="D16" s="5" t="s">
        <v>115</v>
      </c>
      <c r="E16" s="9" t="s">
        <v>24</v>
      </c>
      <c r="F16" s="5">
        <v>2</v>
      </c>
      <c r="G16" s="5" t="s">
        <v>70</v>
      </c>
      <c r="H16" s="5">
        <v>6</v>
      </c>
      <c r="I16" s="5" t="s">
        <v>42</v>
      </c>
      <c r="J16" s="5"/>
    </row>
    <row r="17" spans="1:10">
      <c r="A17" s="7" t="s">
        <v>116</v>
      </c>
      <c r="B17" s="7" t="s">
        <v>117</v>
      </c>
      <c r="C17" s="7" t="s">
        <v>118</v>
      </c>
      <c r="D17" s="7" t="s">
        <v>119</v>
      </c>
      <c r="E17" s="9" t="s">
        <v>24</v>
      </c>
      <c r="F17" s="7">
        <v>1</v>
      </c>
      <c r="G17" s="7" t="s">
        <v>120</v>
      </c>
      <c r="H17" s="7">
        <v>6</v>
      </c>
      <c r="I17" s="7" t="s">
        <v>43</v>
      </c>
      <c r="J17" s="7"/>
    </row>
    <row r="18" spans="1:10">
      <c r="A18" s="5" t="s">
        <v>121</v>
      </c>
      <c r="B18" s="5" t="s">
        <v>122</v>
      </c>
      <c r="C18" s="5" t="s">
        <v>123</v>
      </c>
      <c r="D18" s="5" t="s">
        <v>124</v>
      </c>
      <c r="E18" s="9" t="s">
        <v>24</v>
      </c>
      <c r="F18" s="5">
        <v>2</v>
      </c>
      <c r="G18" s="5" t="s">
        <v>70</v>
      </c>
      <c r="H18" s="5">
        <v>7</v>
      </c>
      <c r="I18" s="5" t="s">
        <v>42</v>
      </c>
      <c r="J18" s="5"/>
    </row>
    <row r="19" spans="1:10">
      <c r="A19" s="7" t="s">
        <v>125</v>
      </c>
      <c r="B19" s="7" t="s">
        <v>126</v>
      </c>
      <c r="C19" s="7" t="s">
        <v>127</v>
      </c>
      <c r="D19" s="7" t="s">
        <v>128</v>
      </c>
      <c r="E19" s="9" t="s">
        <v>24</v>
      </c>
      <c r="F19" s="7">
        <v>2</v>
      </c>
      <c r="G19" s="7" t="s">
        <v>76</v>
      </c>
      <c r="H19" s="7">
        <v>7</v>
      </c>
      <c r="I19" s="7" t="s">
        <v>43</v>
      </c>
      <c r="J19" s="7"/>
    </row>
    <row r="20" spans="1:10">
      <c r="A20" s="5" t="s">
        <v>129</v>
      </c>
      <c r="B20" s="5" t="s">
        <v>130</v>
      </c>
      <c r="C20" s="5" t="s">
        <v>131</v>
      </c>
      <c r="D20" s="5" t="s">
        <v>132</v>
      </c>
      <c r="E20" s="9" t="s">
        <v>24</v>
      </c>
      <c r="F20" s="5">
        <v>1</v>
      </c>
      <c r="G20" s="5" t="s">
        <v>70</v>
      </c>
      <c r="H20" s="5">
        <v>8</v>
      </c>
      <c r="I20" s="5" t="s">
        <v>43</v>
      </c>
      <c r="J20" s="5"/>
    </row>
    <row r="21" spans="1:10">
      <c r="A21" s="7" t="s">
        <v>133</v>
      </c>
      <c r="B21" s="7" t="s">
        <v>134</v>
      </c>
      <c r="C21" s="7" t="s">
        <v>135</v>
      </c>
      <c r="D21" s="7" t="s">
        <v>136</v>
      </c>
      <c r="E21" s="11" t="s">
        <v>25</v>
      </c>
      <c r="F21" s="7">
        <v>2</v>
      </c>
      <c r="G21" s="7" t="s">
        <v>70</v>
      </c>
      <c r="H21" s="7"/>
      <c r="I21" s="7" t="s">
        <v>137</v>
      </c>
      <c r="J21" s="7"/>
    </row>
    <row r="22" spans="1:10">
      <c r="A22" s="5" t="s">
        <v>138</v>
      </c>
      <c r="B22" s="5" t="s">
        <v>139</v>
      </c>
      <c r="C22" s="5" t="s">
        <v>140</v>
      </c>
      <c r="D22" s="5" t="s">
        <v>141</v>
      </c>
      <c r="E22" s="11" t="s">
        <v>25</v>
      </c>
      <c r="F22" s="5">
        <v>2</v>
      </c>
      <c r="G22" s="5" t="s">
        <v>90</v>
      </c>
      <c r="H22" s="5"/>
      <c r="I22" s="5" t="s">
        <v>137</v>
      </c>
      <c r="J22" s="5"/>
    </row>
    <row r="23" spans="1:10">
      <c r="A23" s="7" t="s">
        <v>142</v>
      </c>
      <c r="B23" s="7" t="s">
        <v>143</v>
      </c>
      <c r="C23" s="7" t="s">
        <v>144</v>
      </c>
      <c r="D23" s="7" t="s">
        <v>145</v>
      </c>
      <c r="E23" s="11" t="s">
        <v>25</v>
      </c>
      <c r="F23" s="7">
        <v>1</v>
      </c>
      <c r="G23" s="7" t="s">
        <v>70</v>
      </c>
      <c r="H23" s="7"/>
      <c r="I23" s="7" t="s">
        <v>137</v>
      </c>
      <c r="J23" s="7"/>
    </row>
    <row r="24" spans="1:10">
      <c r="A24" s="5" t="s">
        <v>146</v>
      </c>
      <c r="B24" s="5" t="s">
        <v>67</v>
      </c>
      <c r="C24" s="5" t="s">
        <v>147</v>
      </c>
      <c r="D24" s="5" t="s">
        <v>148</v>
      </c>
      <c r="E24" s="12" t="s">
        <v>26</v>
      </c>
      <c r="F24" s="5">
        <v>0</v>
      </c>
      <c r="G24" s="5" t="s">
        <v>70</v>
      </c>
      <c r="H24" s="5"/>
      <c r="I24" s="5" t="s">
        <v>137</v>
      </c>
      <c r="J24" s="5" t="s">
        <v>149</v>
      </c>
    </row>
    <row r="25" spans="1:10">
      <c r="A25" s="7" t="s">
        <v>150</v>
      </c>
      <c r="B25" s="7" t="s">
        <v>96</v>
      </c>
      <c r="C25" s="7" t="s">
        <v>151</v>
      </c>
      <c r="D25" s="7" t="s">
        <v>152</v>
      </c>
      <c r="E25" s="12" t="s">
        <v>26</v>
      </c>
      <c r="F25" s="7">
        <v>0</v>
      </c>
      <c r="G25" s="7" t="s">
        <v>70</v>
      </c>
      <c r="H25" s="7"/>
      <c r="I25" s="7" t="s">
        <v>137</v>
      </c>
      <c r="J25" s="7" t="s">
        <v>153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C4848C"/>
  </sheetPr>
  <dimension ref="A1:N2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0.7109375" customWidth="1"/>
    <col min="2" max="2" width="18.7109375" customWidth="1"/>
    <col min="3" max="3" width="8.7109375" customWidth="1"/>
    <col min="4" max="13" width="18.7109375" customWidth="1"/>
    <col min="14" max="14" width="25.7109375" customWidth="1"/>
  </cols>
  <sheetData>
    <row r="1" spans="1:14" ht="50" customHeight="1">
      <c r="A1" s="1" t="s">
        <v>154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 ht="25" customHeight="1">
      <c r="A2" s="2" t="s">
        <v>155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/>
    <row r="4" spans="1:14" ht="30" customHeight="1">
      <c r="A4" s="4" t="s">
        <v>63</v>
      </c>
      <c r="B4" s="4" t="s">
        <v>156</v>
      </c>
      <c r="C4" s="4" t="s">
        <v>157</v>
      </c>
      <c r="D4" s="4" t="s">
        <v>158</v>
      </c>
      <c r="E4" s="4" t="s">
        <v>159</v>
      </c>
      <c r="F4" s="4" t="s">
        <v>160</v>
      </c>
      <c r="G4" s="4" t="s">
        <v>161</v>
      </c>
      <c r="H4" s="4" t="s">
        <v>162</v>
      </c>
      <c r="I4" s="4" t="s">
        <v>163</v>
      </c>
      <c r="J4" s="4" t="s">
        <v>164</v>
      </c>
      <c r="K4" s="4" t="s">
        <v>165</v>
      </c>
      <c r="L4" s="4" t="s">
        <v>166</v>
      </c>
      <c r="M4" s="4" t="s">
        <v>167</v>
      </c>
      <c r="N4" s="4" t="s">
        <v>65</v>
      </c>
    </row>
    <row r="5" spans="1:14">
      <c r="A5" s="10">
        <v>1</v>
      </c>
      <c r="B5" s="5" t="s">
        <v>168</v>
      </c>
      <c r="C5" s="10">
        <v>10</v>
      </c>
      <c r="D5" s="18" t="s">
        <v>169</v>
      </c>
      <c r="E5" s="18" t="s">
        <v>170</v>
      </c>
      <c r="F5" s="18" t="s">
        <v>171</v>
      </c>
      <c r="G5" s="18" t="s">
        <v>172</v>
      </c>
      <c r="H5" s="18" t="s">
        <v>173</v>
      </c>
      <c r="I5" s="18" t="s">
        <v>174</v>
      </c>
      <c r="J5" s="18" t="s">
        <v>175</v>
      </c>
      <c r="K5" s="18" t="s">
        <v>176</v>
      </c>
      <c r="L5" s="18" t="s">
        <v>177</v>
      </c>
      <c r="M5" s="18" t="s">
        <v>178</v>
      </c>
      <c r="N5" s="19" t="s">
        <v>179</v>
      </c>
    </row>
    <row r="6" spans="1:14">
      <c r="A6" s="10">
        <v>2</v>
      </c>
      <c r="B6" s="5" t="s">
        <v>180</v>
      </c>
      <c r="C6" s="10">
        <v>8</v>
      </c>
      <c r="D6" s="18" t="s">
        <v>181</v>
      </c>
      <c r="E6" s="18" t="s">
        <v>182</v>
      </c>
      <c r="F6" s="18" t="s">
        <v>183</v>
      </c>
      <c r="G6" s="18"/>
      <c r="H6" s="18"/>
      <c r="I6" s="18"/>
      <c r="J6" s="18"/>
      <c r="K6" s="18"/>
      <c r="L6" s="18"/>
    </row>
    <row r="7" spans="1:14">
      <c r="A7" s="10">
        <v>3</v>
      </c>
      <c r="B7" s="5" t="s">
        <v>184</v>
      </c>
      <c r="C7" s="10">
        <v>8</v>
      </c>
      <c r="D7" s="18" t="s">
        <v>185</v>
      </c>
      <c r="E7" s="18" t="s">
        <v>186</v>
      </c>
      <c r="F7" s="18"/>
      <c r="G7" s="18"/>
      <c r="H7" s="18"/>
      <c r="I7" s="18"/>
      <c r="J7" s="18"/>
      <c r="K7" s="18"/>
      <c r="L7" s="18"/>
    </row>
    <row r="8" spans="1:14">
      <c r="A8" s="10">
        <v>4</v>
      </c>
      <c r="B8" s="5" t="s">
        <v>187</v>
      </c>
      <c r="C8" s="10">
        <v>8</v>
      </c>
      <c r="D8" s="18" t="s">
        <v>177</v>
      </c>
      <c r="E8" s="18" t="s">
        <v>188</v>
      </c>
      <c r="F8" s="18"/>
      <c r="G8" s="18"/>
      <c r="H8" s="18"/>
      <c r="I8" s="18"/>
      <c r="J8" s="18"/>
      <c r="K8" s="18"/>
      <c r="L8" s="18"/>
    </row>
    <row r="9" spans="1:14">
      <c r="A9" s="10">
        <v>5</v>
      </c>
      <c r="B9" s="5" t="s">
        <v>189</v>
      </c>
      <c r="C9" s="10">
        <v>8</v>
      </c>
      <c r="D9" s="18"/>
      <c r="E9" s="18"/>
      <c r="F9" s="18"/>
      <c r="G9" s="18"/>
      <c r="H9" s="18"/>
      <c r="I9" s="18"/>
      <c r="J9" s="18"/>
      <c r="K9" s="18"/>
      <c r="L9" s="18"/>
    </row>
    <row r="10" spans="1:14">
      <c r="A10" s="10">
        <v>6</v>
      </c>
      <c r="B10" s="5"/>
      <c r="C10" s="10">
        <v>10</v>
      </c>
      <c r="D10" s="18"/>
      <c r="E10" s="18"/>
      <c r="F10" s="18"/>
      <c r="G10" s="18"/>
      <c r="H10" s="18"/>
      <c r="I10" s="18"/>
      <c r="J10" s="18"/>
      <c r="K10" s="18"/>
      <c r="L10" s="18"/>
      <c r="M10" s="18"/>
    </row>
    <row r="11" spans="1:14">
      <c r="A11" s="10">
        <v>7</v>
      </c>
      <c r="B11" s="5"/>
      <c r="C11" s="10">
        <v>10</v>
      </c>
      <c r="D11" s="18"/>
      <c r="E11" s="18"/>
      <c r="F11" s="18"/>
      <c r="G11" s="18"/>
      <c r="H11" s="18"/>
      <c r="I11" s="18"/>
      <c r="J11" s="18"/>
      <c r="K11" s="18"/>
      <c r="L11" s="18"/>
      <c r="M11" s="18"/>
    </row>
    <row r="12" spans="1:14">
      <c r="A12" s="10">
        <v>8</v>
      </c>
      <c r="B12" s="5"/>
      <c r="C12" s="10">
        <v>10</v>
      </c>
      <c r="D12" s="18"/>
      <c r="E12" s="18"/>
      <c r="F12" s="18"/>
      <c r="G12" s="18"/>
      <c r="H12" s="18"/>
      <c r="I12" s="18"/>
      <c r="J12" s="18"/>
      <c r="K12" s="18"/>
      <c r="L12" s="18"/>
      <c r="M12" s="18"/>
    </row>
    <row r="13" spans="1:14">
      <c r="A13" s="10">
        <v>9</v>
      </c>
      <c r="B13" s="5"/>
      <c r="C13" s="10">
        <v>10</v>
      </c>
      <c r="D13" s="18"/>
      <c r="E13" s="18"/>
      <c r="F13" s="18"/>
      <c r="G13" s="18"/>
      <c r="H13" s="18"/>
      <c r="I13" s="18"/>
      <c r="J13" s="18"/>
      <c r="K13" s="18"/>
      <c r="L13" s="18"/>
      <c r="M13" s="18"/>
    </row>
    <row r="14" spans="1:14">
      <c r="A14" s="10">
        <v>10</v>
      </c>
      <c r="B14" s="5"/>
      <c r="C14" s="10">
        <v>10</v>
      </c>
      <c r="D14" s="18"/>
      <c r="E14" s="18"/>
      <c r="F14" s="18"/>
      <c r="G14" s="18"/>
      <c r="H14" s="18"/>
      <c r="I14" s="18"/>
      <c r="J14" s="18"/>
      <c r="K14" s="18"/>
      <c r="L14" s="18"/>
      <c r="M14" s="18"/>
    </row>
    <row r="15" spans="1:14">
      <c r="A15" s="10">
        <v>11</v>
      </c>
      <c r="B15" s="5"/>
      <c r="C15" s="10">
        <v>10</v>
      </c>
      <c r="D15" s="18"/>
      <c r="E15" s="18"/>
      <c r="F15" s="18"/>
      <c r="G15" s="18"/>
      <c r="H15" s="18"/>
      <c r="I15" s="18"/>
      <c r="J15" s="18"/>
      <c r="K15" s="18"/>
      <c r="L15" s="18"/>
      <c r="M15" s="18"/>
    </row>
    <row r="16" spans="1:14">
      <c r="A16" s="10">
        <v>12</v>
      </c>
      <c r="B16" s="5"/>
      <c r="C16" s="10">
        <v>10</v>
      </c>
      <c r="D16" s="18"/>
      <c r="E16" s="18"/>
      <c r="F16" s="18"/>
      <c r="G16" s="18"/>
      <c r="H16" s="18"/>
      <c r="I16" s="18"/>
      <c r="J16" s="18"/>
      <c r="K16" s="18"/>
      <c r="L16" s="18"/>
      <c r="M16" s="18"/>
    </row>
    <row r="17" spans="1:13">
      <c r="A17" s="10">
        <v>13</v>
      </c>
      <c r="B17" s="5"/>
      <c r="C17" s="10">
        <v>10</v>
      </c>
      <c r="D17" s="18"/>
      <c r="E17" s="18"/>
      <c r="F17" s="18"/>
      <c r="G17" s="18"/>
      <c r="H17" s="18"/>
      <c r="I17" s="18"/>
      <c r="J17" s="18"/>
      <c r="K17" s="18"/>
      <c r="L17" s="18"/>
      <c r="M17" s="18"/>
    </row>
    <row r="18" spans="1:13">
      <c r="A18" s="10">
        <v>14</v>
      </c>
      <c r="B18" s="5"/>
      <c r="C18" s="10">
        <v>10</v>
      </c>
      <c r="D18" s="18"/>
      <c r="E18" s="18"/>
      <c r="F18" s="18"/>
      <c r="G18" s="18"/>
      <c r="H18" s="18"/>
      <c r="I18" s="18"/>
      <c r="J18" s="18"/>
      <c r="K18" s="18"/>
      <c r="L18" s="18"/>
      <c r="M18" s="18"/>
    </row>
    <row r="19" spans="1:13">
      <c r="A19" s="10">
        <v>15</v>
      </c>
      <c r="B19" s="5"/>
      <c r="C19" s="10">
        <v>10</v>
      </c>
      <c r="D19" s="18"/>
      <c r="E19" s="18"/>
      <c r="F19" s="18"/>
      <c r="G19" s="18"/>
      <c r="H19" s="18"/>
      <c r="I19" s="18"/>
      <c r="J19" s="18"/>
      <c r="K19" s="18"/>
      <c r="L19" s="18"/>
      <c r="M19" s="18"/>
    </row>
    <row r="20" spans="1:13">
      <c r="A20" s="10">
        <v>16</v>
      </c>
      <c r="B20" s="5"/>
      <c r="C20" s="10">
        <v>10</v>
      </c>
      <c r="D20" s="18"/>
      <c r="E20" s="18"/>
      <c r="F20" s="18"/>
      <c r="G20" s="18"/>
      <c r="H20" s="18"/>
      <c r="I20" s="18"/>
      <c r="J20" s="18"/>
      <c r="K20" s="18"/>
      <c r="L20" s="18"/>
      <c r="M20" s="18"/>
    </row>
    <row r="21" spans="1:13">
      <c r="A21" s="10">
        <v>17</v>
      </c>
      <c r="B21" s="5"/>
      <c r="C21" s="10">
        <v>10</v>
      </c>
      <c r="D21" s="18"/>
      <c r="E21" s="18"/>
      <c r="F21" s="18"/>
      <c r="G21" s="18"/>
      <c r="H21" s="18"/>
      <c r="I21" s="18"/>
      <c r="J21" s="18"/>
      <c r="K21" s="18"/>
      <c r="L21" s="18"/>
      <c r="M21" s="18"/>
    </row>
    <row r="22" spans="1:13">
      <c r="A22" s="10">
        <v>18</v>
      </c>
      <c r="B22" s="5"/>
      <c r="C22" s="10">
        <v>10</v>
      </c>
      <c r="D22" s="18"/>
      <c r="E22" s="18"/>
      <c r="F22" s="18"/>
      <c r="G22" s="18"/>
      <c r="H22" s="18"/>
      <c r="I22" s="18"/>
      <c r="J22" s="18"/>
      <c r="K22" s="18"/>
      <c r="L22" s="18"/>
      <c r="M22" s="18"/>
    </row>
    <row r="23" spans="1:13">
      <c r="A23" s="10">
        <v>19</v>
      </c>
      <c r="B23" s="5"/>
      <c r="C23" s="10">
        <v>10</v>
      </c>
      <c r="D23" s="18"/>
      <c r="E23" s="18"/>
      <c r="F23" s="18"/>
      <c r="G23" s="18"/>
      <c r="H23" s="18"/>
      <c r="I23" s="18"/>
      <c r="J23" s="18"/>
      <c r="K23" s="18"/>
      <c r="L23" s="18"/>
      <c r="M23" s="18"/>
    </row>
    <row r="24" spans="1:13">
      <c r="A24" s="10">
        <v>20</v>
      </c>
      <c r="B24" s="5"/>
      <c r="C24" s="10">
        <v>10</v>
      </c>
      <c r="D24" s="18"/>
      <c r="E24" s="18"/>
      <c r="F24" s="18"/>
      <c r="G24" s="18"/>
      <c r="H24" s="18"/>
      <c r="I24" s="18"/>
      <c r="J24" s="18"/>
      <c r="K24" s="18"/>
      <c r="L24" s="18"/>
      <c r="M24" s="18"/>
    </row>
  </sheetData>
  <mergeCells count="2">
    <mergeCell ref="A1:N1"/>
    <mergeCell ref="A2:N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C5A572"/>
  </sheetPr>
  <dimension ref="A1:L1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6.7109375" customWidth="1"/>
    <col min="2" max="2" width="22.7109375" customWidth="1"/>
    <col min="3" max="3" width="18.7109375" customWidth="1"/>
    <col min="4" max="4" width="15.7109375" customWidth="1"/>
    <col min="5" max="5" width="28.7109375" customWidth="1"/>
    <col min="6" max="6" width="22.7109375" customWidth="1"/>
    <col min="7" max="7" width="10.7109375" customWidth="1"/>
    <col min="8" max="9" width="14.7109375" customWidth="1"/>
    <col min="10" max="10" width="16.7109375" customWidth="1"/>
    <col min="11" max="11" width="10.7109375" customWidth="1"/>
    <col min="12" max="12" width="25.7109375" customWidth="1"/>
  </cols>
  <sheetData>
    <row r="1" spans="1:12" ht="50" customHeight="1">
      <c r="A1" s="1" t="s">
        <v>190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5" customHeight="1">
      <c r="A2" s="2" t="s">
        <v>191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/>
    <row r="4" spans="1:12" ht="30" customHeight="1">
      <c r="A4" s="4" t="s">
        <v>192</v>
      </c>
      <c r="B4" s="4" t="s">
        <v>193</v>
      </c>
      <c r="C4" s="4" t="s">
        <v>194</v>
      </c>
      <c r="D4" s="4" t="s">
        <v>60</v>
      </c>
      <c r="E4" s="4" t="s">
        <v>59</v>
      </c>
      <c r="F4" s="4" t="s">
        <v>195</v>
      </c>
      <c r="G4" s="4" t="s">
        <v>196</v>
      </c>
      <c r="H4" s="4" t="s">
        <v>197</v>
      </c>
      <c r="I4" s="4" t="s">
        <v>198</v>
      </c>
      <c r="J4" s="4" t="s">
        <v>199</v>
      </c>
      <c r="K4" s="4" t="s">
        <v>200</v>
      </c>
      <c r="L4" s="4" t="s">
        <v>65</v>
      </c>
    </row>
    <row r="5" spans="1:12">
      <c r="A5" s="5" t="s">
        <v>6</v>
      </c>
      <c r="B5" s="5" t="s">
        <v>201</v>
      </c>
      <c r="C5" s="5" t="s">
        <v>202</v>
      </c>
      <c r="D5" s="5" t="s">
        <v>203</v>
      </c>
      <c r="E5" s="5" t="s">
        <v>204</v>
      </c>
      <c r="F5" s="5" t="s">
        <v>205</v>
      </c>
      <c r="G5" s="10" t="s">
        <v>42</v>
      </c>
      <c r="H5" s="6">
        <v>3000</v>
      </c>
      <c r="I5" s="6">
        <v>12000</v>
      </c>
      <c r="J5" s="5" t="s">
        <v>206</v>
      </c>
      <c r="K5" s="10">
        <v>5</v>
      </c>
      <c r="L5" s="5" t="s">
        <v>207</v>
      </c>
    </row>
    <row r="6" spans="1:12">
      <c r="A6" s="7" t="s">
        <v>208</v>
      </c>
      <c r="B6" s="7" t="s">
        <v>209</v>
      </c>
      <c r="C6" s="7" t="s">
        <v>210</v>
      </c>
      <c r="D6" s="7" t="s">
        <v>211</v>
      </c>
      <c r="E6" s="7" t="s">
        <v>212</v>
      </c>
      <c r="F6" s="7" t="s">
        <v>213</v>
      </c>
      <c r="G6" s="10" t="s">
        <v>42</v>
      </c>
      <c r="H6" s="8">
        <v>2000</v>
      </c>
      <c r="I6" s="8">
        <v>8000</v>
      </c>
      <c r="J6" s="7" t="s">
        <v>214</v>
      </c>
      <c r="K6" s="10">
        <v>5</v>
      </c>
      <c r="L6" s="7" t="s">
        <v>215</v>
      </c>
    </row>
    <row r="7" spans="1:12">
      <c r="A7" s="5" t="s">
        <v>216</v>
      </c>
      <c r="B7" s="5" t="s">
        <v>217</v>
      </c>
      <c r="C7" s="5" t="s">
        <v>218</v>
      </c>
      <c r="D7" s="5" t="s">
        <v>219</v>
      </c>
      <c r="E7" s="5" t="s">
        <v>220</v>
      </c>
      <c r="F7" s="5" t="s">
        <v>221</v>
      </c>
      <c r="G7" s="10" t="s">
        <v>42</v>
      </c>
      <c r="H7" s="6">
        <v>800</v>
      </c>
      <c r="I7" s="6">
        <v>2200</v>
      </c>
      <c r="J7" s="5" t="s">
        <v>222</v>
      </c>
      <c r="K7" s="10">
        <v>5</v>
      </c>
      <c r="L7" s="5" t="s">
        <v>223</v>
      </c>
    </row>
    <row r="8" spans="1:12">
      <c r="A8" s="7" t="s">
        <v>224</v>
      </c>
      <c r="B8" s="7"/>
      <c r="C8" s="7"/>
      <c r="D8" s="7"/>
      <c r="E8" s="7"/>
      <c r="F8" s="7"/>
      <c r="G8" s="10"/>
      <c r="H8" s="8"/>
      <c r="I8" s="8"/>
      <c r="J8" s="7"/>
      <c r="K8" s="10"/>
      <c r="L8" s="7"/>
    </row>
    <row r="9" spans="1:12">
      <c r="A9" s="5" t="s">
        <v>225</v>
      </c>
      <c r="B9" s="5"/>
      <c r="C9" s="5"/>
      <c r="D9" s="5"/>
      <c r="E9" s="5"/>
      <c r="F9" s="5"/>
      <c r="G9" s="10"/>
      <c r="H9" s="6"/>
      <c r="I9" s="6"/>
      <c r="J9" s="5"/>
      <c r="K9" s="10"/>
      <c r="L9" s="5"/>
    </row>
    <row r="10" spans="1:12">
      <c r="A10" s="7" t="s">
        <v>11</v>
      </c>
      <c r="B10" s="7"/>
      <c r="C10" s="7"/>
      <c r="D10" s="7"/>
      <c r="E10" s="7"/>
      <c r="F10" s="7"/>
      <c r="G10" s="10"/>
      <c r="H10" s="8"/>
      <c r="I10" s="8"/>
      <c r="J10" s="7"/>
      <c r="K10" s="10"/>
      <c r="L10" s="7"/>
    </row>
    <row r="11" spans="1:12">
      <c r="A11" s="5" t="s">
        <v>226</v>
      </c>
      <c r="B11" s="5"/>
      <c r="C11" s="5"/>
      <c r="D11" s="5"/>
      <c r="E11" s="5"/>
      <c r="F11" s="5"/>
      <c r="G11" s="10"/>
      <c r="H11" s="6"/>
      <c r="I11" s="6"/>
      <c r="J11" s="5"/>
      <c r="K11" s="10"/>
      <c r="L11" s="5"/>
    </row>
    <row r="12" spans="1:12">
      <c r="A12" s="7" t="s">
        <v>13</v>
      </c>
      <c r="B12" s="7"/>
      <c r="C12" s="7"/>
      <c r="D12" s="7"/>
      <c r="E12" s="7"/>
      <c r="F12" s="7"/>
      <c r="G12" s="10"/>
      <c r="H12" s="8"/>
      <c r="I12" s="8"/>
      <c r="J12" s="7"/>
      <c r="K12" s="10"/>
      <c r="L12" s="7"/>
    </row>
    <row r="13" spans="1:12">
      <c r="A13" s="5" t="s">
        <v>227</v>
      </c>
      <c r="B13" s="5"/>
      <c r="C13" s="5"/>
      <c r="D13" s="5"/>
      <c r="E13" s="5"/>
      <c r="F13" s="5"/>
      <c r="G13" s="10"/>
      <c r="H13" s="6"/>
      <c r="I13" s="6"/>
      <c r="J13" s="5"/>
      <c r="K13" s="10"/>
      <c r="L13" s="5"/>
    </row>
    <row r="14" spans="1:12">
      <c r="A14" s="7" t="s">
        <v>228</v>
      </c>
      <c r="B14" s="7"/>
      <c r="C14" s="7"/>
      <c r="D14" s="7"/>
      <c r="E14" s="7"/>
      <c r="F14" s="7"/>
      <c r="G14" s="10"/>
      <c r="H14" s="8"/>
      <c r="I14" s="8"/>
      <c r="J14" s="7"/>
      <c r="K14" s="10"/>
      <c r="L14" s="7"/>
    </row>
  </sheetData>
  <mergeCells count="2">
    <mergeCell ref="A1:L1"/>
    <mergeCell ref="A2:L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D8B8B"/>
  </sheetPr>
  <dimension ref="A1:D16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4" width="22.7109375" customWidth="1"/>
  </cols>
  <sheetData>
    <row r="1" spans="1:4" ht="50" customHeight="1">
      <c r="A1" s="1" t="s">
        <v>229</v>
      </c>
      <c r="B1" s="1"/>
      <c r="C1" s="1"/>
      <c r="D1" s="1"/>
    </row>
    <row r="2" spans="1:4" ht="25" customHeight="1">
      <c r="A2" s="2" t="s">
        <v>230</v>
      </c>
      <c r="B2" s="2"/>
      <c r="C2" s="2"/>
      <c r="D2" s="2"/>
    </row>
    <row r="3" spans="1:4"/>
    <row r="4" spans="1:4" ht="30" customHeight="1">
      <c r="A4" s="4" t="s">
        <v>231</v>
      </c>
      <c r="B4" s="4" t="s">
        <v>232</v>
      </c>
      <c r="C4" s="4" t="s">
        <v>233</v>
      </c>
      <c r="D4" s="4" t="s">
        <v>234</v>
      </c>
    </row>
    <row r="5" spans="1:4">
      <c r="A5" s="5" t="s">
        <v>235</v>
      </c>
      <c r="B5" s="5" t="s">
        <v>236</v>
      </c>
      <c r="C5" s="5" t="s">
        <v>237</v>
      </c>
      <c r="D5" s="5" t="s">
        <v>238</v>
      </c>
    </row>
    <row r="6" spans="1:4">
      <c r="A6" s="7" t="s">
        <v>239</v>
      </c>
      <c r="B6" s="7" t="s">
        <v>240</v>
      </c>
      <c r="C6" s="7" t="s">
        <v>241</v>
      </c>
      <c r="D6" s="7" t="s">
        <v>242</v>
      </c>
    </row>
    <row r="7" spans="1:4">
      <c r="A7" s="5" t="s">
        <v>243</v>
      </c>
      <c r="B7" s="10">
        <v>200</v>
      </c>
      <c r="C7" s="10">
        <v>150</v>
      </c>
      <c r="D7" s="10">
        <v>100</v>
      </c>
    </row>
    <row r="8" spans="1:4">
      <c r="A8" s="7" t="s">
        <v>244</v>
      </c>
      <c r="B8" s="8">
        <v>15000</v>
      </c>
      <c r="C8" s="8">
        <v>12000</v>
      </c>
      <c r="D8" s="8">
        <v>8000</v>
      </c>
    </row>
    <row r="9" spans="1:4">
      <c r="A9" s="5" t="s">
        <v>245</v>
      </c>
      <c r="B9" s="5" t="s">
        <v>246</v>
      </c>
      <c r="C9" s="5" t="s">
        <v>247</v>
      </c>
      <c r="D9" s="5" t="s">
        <v>246</v>
      </c>
    </row>
    <row r="10" spans="1:4">
      <c r="A10" s="7" t="s">
        <v>248</v>
      </c>
      <c r="B10" s="7">
        <v>100</v>
      </c>
      <c r="C10" s="7">
        <v>75</v>
      </c>
      <c r="D10" s="7">
        <v>50</v>
      </c>
    </row>
    <row r="11" spans="1:4">
      <c r="A11" s="5" t="s">
        <v>249</v>
      </c>
      <c r="B11" s="5" t="s">
        <v>42</v>
      </c>
      <c r="C11" s="5" t="s">
        <v>250</v>
      </c>
      <c r="D11" s="5" t="s">
        <v>42</v>
      </c>
    </row>
    <row r="12" spans="1:4">
      <c r="A12" s="7" t="s">
        <v>251</v>
      </c>
      <c r="B12" s="7" t="s">
        <v>252</v>
      </c>
      <c r="C12" s="7" t="s">
        <v>253</v>
      </c>
      <c r="D12" s="7" t="s">
        <v>254</v>
      </c>
    </row>
    <row r="13" spans="1:4">
      <c r="A13" s="5" t="s">
        <v>255</v>
      </c>
      <c r="B13" s="5" t="s">
        <v>43</v>
      </c>
      <c r="C13" s="5" t="s">
        <v>42</v>
      </c>
      <c r="D13" s="5" t="s">
        <v>42</v>
      </c>
    </row>
    <row r="14" spans="1:4">
      <c r="A14" s="7" t="s">
        <v>256</v>
      </c>
      <c r="B14" s="7" t="s">
        <v>257</v>
      </c>
      <c r="C14" s="7" t="s">
        <v>258</v>
      </c>
      <c r="D14" s="7" t="s">
        <v>259</v>
      </c>
    </row>
    <row r="15" spans="1:4">
      <c r="A15" s="5" t="s">
        <v>260</v>
      </c>
      <c r="B15" s="20">
        <v>9</v>
      </c>
      <c r="C15" s="20">
        <v>7</v>
      </c>
      <c r="D15" s="20">
        <v>8</v>
      </c>
    </row>
    <row r="16" spans="1:4">
      <c r="A16" s="7" t="s">
        <v>65</v>
      </c>
      <c r="B16" s="7" t="s">
        <v>261</v>
      </c>
      <c r="C16" s="7" t="s">
        <v>262</v>
      </c>
      <c r="D16" s="7" t="s">
        <v>263</v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7A9E7E"/>
  </sheetPr>
  <dimension ref="A1:F4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35.7109375" customWidth="1"/>
    <col min="2" max="2" width="14.7109375" customWidth="1"/>
    <col min="3" max="3" width="12.7109375" customWidth="1"/>
    <col min="4" max="5" width="14.7109375" customWidth="1"/>
    <col min="6" max="6" width="30.7109375" customWidth="1"/>
  </cols>
  <sheetData>
    <row r="1" spans="1:6" ht="50" customHeight="1">
      <c r="A1" s="1" t="s">
        <v>264</v>
      </c>
      <c r="B1" s="1"/>
      <c r="C1" s="1"/>
      <c r="D1" s="1"/>
      <c r="E1" s="1"/>
      <c r="F1" s="1"/>
    </row>
    <row r="2" spans="1:6" ht="25" customHeight="1">
      <c r="A2" s="2" t="s">
        <v>265</v>
      </c>
      <c r="B2" s="2"/>
      <c r="C2" s="2"/>
      <c r="D2" s="2"/>
      <c r="E2" s="2"/>
      <c r="F2" s="2"/>
    </row>
    <row r="3" spans="1:6"/>
    <row r="4" spans="1:6" ht="30" customHeight="1">
      <c r="A4" s="4" t="s">
        <v>29</v>
      </c>
      <c r="B4" s="4" t="s">
        <v>3</v>
      </c>
      <c r="C4" s="4" t="s">
        <v>266</v>
      </c>
      <c r="D4" s="4" t="s">
        <v>267</v>
      </c>
      <c r="E4" s="4" t="s">
        <v>268</v>
      </c>
      <c r="F4" s="4" t="s">
        <v>65</v>
      </c>
    </row>
    <row r="5" spans="1:6">
      <c r="A5" s="5" t="s">
        <v>269</v>
      </c>
      <c r="B5" s="10" t="s">
        <v>6</v>
      </c>
      <c r="C5" s="10" t="s">
        <v>270</v>
      </c>
      <c r="D5" s="10" t="s">
        <v>271</v>
      </c>
      <c r="E5" s="9" t="s">
        <v>272</v>
      </c>
      <c r="F5" s="5"/>
    </row>
    <row r="6" spans="1:6">
      <c r="A6" s="7" t="s">
        <v>273</v>
      </c>
      <c r="B6" s="10" t="s">
        <v>274</v>
      </c>
      <c r="C6" s="10" t="s">
        <v>270</v>
      </c>
      <c r="D6" s="10" t="s">
        <v>271</v>
      </c>
      <c r="E6" s="9" t="s">
        <v>272</v>
      </c>
      <c r="F6" s="7"/>
    </row>
    <row r="7" spans="1:6">
      <c r="A7" s="5" t="s">
        <v>275</v>
      </c>
      <c r="B7" s="10" t="s">
        <v>276</v>
      </c>
      <c r="C7" s="10" t="s">
        <v>270</v>
      </c>
      <c r="D7" s="10" t="s">
        <v>271</v>
      </c>
      <c r="E7" s="9" t="s">
        <v>272</v>
      </c>
      <c r="F7" s="5"/>
    </row>
    <row r="8" spans="1:6">
      <c r="A8" s="7" t="s">
        <v>277</v>
      </c>
      <c r="B8" s="10" t="s">
        <v>278</v>
      </c>
      <c r="C8" s="10" t="s">
        <v>270</v>
      </c>
      <c r="D8" s="10" t="s">
        <v>271</v>
      </c>
      <c r="E8" s="9" t="s">
        <v>272</v>
      </c>
      <c r="F8" s="7"/>
    </row>
    <row r="9" spans="1:6">
      <c r="A9" s="5" t="s">
        <v>279</v>
      </c>
      <c r="B9" s="10" t="s">
        <v>280</v>
      </c>
      <c r="C9" s="10" t="s">
        <v>270</v>
      </c>
      <c r="D9" s="10" t="s">
        <v>271</v>
      </c>
      <c r="E9" s="9" t="s">
        <v>272</v>
      </c>
      <c r="F9" s="5"/>
    </row>
    <row r="10" spans="1:6">
      <c r="A10" s="7" t="s">
        <v>281</v>
      </c>
      <c r="B10" s="10" t="s">
        <v>282</v>
      </c>
      <c r="C10" s="10" t="s">
        <v>270</v>
      </c>
      <c r="D10" s="10" t="s">
        <v>271</v>
      </c>
      <c r="E10" s="9" t="s">
        <v>272</v>
      </c>
      <c r="F10" s="7"/>
    </row>
    <row r="11" spans="1:6">
      <c r="A11" s="5" t="s">
        <v>283</v>
      </c>
      <c r="B11" s="10" t="s">
        <v>274</v>
      </c>
      <c r="C11" s="10" t="s">
        <v>284</v>
      </c>
      <c r="D11" s="10" t="s">
        <v>285</v>
      </c>
      <c r="E11" s="9" t="s">
        <v>272</v>
      </c>
      <c r="F11" s="5"/>
    </row>
    <row r="12" spans="1:6">
      <c r="A12" s="7" t="s">
        <v>286</v>
      </c>
      <c r="B12" s="10" t="s">
        <v>7</v>
      </c>
      <c r="C12" s="10" t="s">
        <v>270</v>
      </c>
      <c r="D12" s="10" t="s">
        <v>285</v>
      </c>
      <c r="E12" s="9" t="s">
        <v>272</v>
      </c>
      <c r="F12" s="7"/>
    </row>
    <row r="13" spans="1:6">
      <c r="A13" s="5" t="s">
        <v>287</v>
      </c>
      <c r="B13" s="10" t="s">
        <v>278</v>
      </c>
      <c r="C13" s="10" t="s">
        <v>284</v>
      </c>
      <c r="D13" s="10" t="s">
        <v>285</v>
      </c>
      <c r="E13" s="9" t="s">
        <v>272</v>
      </c>
      <c r="F13" s="5"/>
    </row>
    <row r="14" spans="1:6">
      <c r="A14" s="7" t="s">
        <v>288</v>
      </c>
      <c r="B14" s="10" t="s">
        <v>10</v>
      </c>
      <c r="C14" s="10" t="s">
        <v>270</v>
      </c>
      <c r="D14" s="10" t="s">
        <v>289</v>
      </c>
      <c r="E14" s="9" t="s">
        <v>272</v>
      </c>
      <c r="F14" s="7"/>
    </row>
    <row r="15" spans="1:6">
      <c r="A15" s="5" t="s">
        <v>290</v>
      </c>
      <c r="B15" s="10" t="s">
        <v>291</v>
      </c>
      <c r="C15" s="10" t="s">
        <v>270</v>
      </c>
      <c r="D15" s="10" t="s">
        <v>289</v>
      </c>
      <c r="E15" s="9" t="s">
        <v>272</v>
      </c>
      <c r="F15" s="5"/>
    </row>
    <row r="16" spans="1:6">
      <c r="A16" s="7" t="s">
        <v>292</v>
      </c>
      <c r="B16" s="10" t="s">
        <v>293</v>
      </c>
      <c r="C16" s="10" t="s">
        <v>284</v>
      </c>
      <c r="D16" s="10" t="s">
        <v>289</v>
      </c>
      <c r="E16" s="9" t="s">
        <v>272</v>
      </c>
      <c r="F16" s="7"/>
    </row>
    <row r="17" spans="1:6">
      <c r="A17" s="5" t="s">
        <v>294</v>
      </c>
      <c r="B17" s="10" t="s">
        <v>6</v>
      </c>
      <c r="C17" s="10" t="s">
        <v>270</v>
      </c>
      <c r="D17" s="10" t="s">
        <v>289</v>
      </c>
      <c r="E17" s="9" t="s">
        <v>272</v>
      </c>
      <c r="F17" s="5"/>
    </row>
    <row r="18" spans="1:6">
      <c r="A18" s="7" t="s">
        <v>295</v>
      </c>
      <c r="B18" s="10" t="s">
        <v>274</v>
      </c>
      <c r="C18" s="10" t="s">
        <v>284</v>
      </c>
      <c r="D18" s="10" t="s">
        <v>296</v>
      </c>
      <c r="E18" s="21" t="s">
        <v>297</v>
      </c>
      <c r="F18" s="7" t="s">
        <v>298</v>
      </c>
    </row>
    <row r="19" spans="1:6">
      <c r="A19" s="5" t="s">
        <v>299</v>
      </c>
      <c r="B19" s="10" t="s">
        <v>274</v>
      </c>
      <c r="C19" s="10" t="s">
        <v>284</v>
      </c>
      <c r="D19" s="10" t="s">
        <v>296</v>
      </c>
      <c r="E19" s="9" t="s">
        <v>272</v>
      </c>
      <c r="F19" s="5"/>
    </row>
    <row r="20" spans="1:6">
      <c r="A20" s="7" t="s">
        <v>300</v>
      </c>
      <c r="B20" s="10" t="s">
        <v>12</v>
      </c>
      <c r="C20" s="10" t="s">
        <v>284</v>
      </c>
      <c r="D20" s="10" t="s">
        <v>296</v>
      </c>
      <c r="E20" s="9" t="s">
        <v>272</v>
      </c>
      <c r="F20" s="7"/>
    </row>
    <row r="21" spans="1:6">
      <c r="A21" s="5" t="s">
        <v>301</v>
      </c>
      <c r="B21" s="10" t="s">
        <v>293</v>
      </c>
      <c r="C21" s="10" t="s">
        <v>284</v>
      </c>
      <c r="D21" s="10" t="s">
        <v>302</v>
      </c>
      <c r="E21" s="9" t="s">
        <v>272</v>
      </c>
      <c r="F21" s="5"/>
    </row>
    <row r="22" spans="1:6">
      <c r="A22" s="7" t="s">
        <v>303</v>
      </c>
      <c r="B22" s="10" t="s">
        <v>12</v>
      </c>
      <c r="C22" s="10" t="s">
        <v>270</v>
      </c>
      <c r="D22" s="10" t="s">
        <v>302</v>
      </c>
      <c r="E22" s="21" t="s">
        <v>297</v>
      </c>
      <c r="F22" s="7" t="s">
        <v>304</v>
      </c>
    </row>
    <row r="23" spans="1:6">
      <c r="A23" s="5" t="s">
        <v>305</v>
      </c>
      <c r="B23" s="10" t="s">
        <v>274</v>
      </c>
      <c r="C23" s="10" t="s">
        <v>284</v>
      </c>
      <c r="D23" s="10" t="s">
        <v>302</v>
      </c>
      <c r="E23" s="10" t="s">
        <v>306</v>
      </c>
      <c r="F23" s="5"/>
    </row>
    <row r="24" spans="1:6">
      <c r="A24" s="7" t="s">
        <v>307</v>
      </c>
      <c r="B24" s="10" t="s">
        <v>6</v>
      </c>
      <c r="C24" s="10" t="s">
        <v>270</v>
      </c>
      <c r="D24" s="10" t="s">
        <v>308</v>
      </c>
      <c r="E24" s="10" t="s">
        <v>306</v>
      </c>
      <c r="F24" s="7"/>
    </row>
    <row r="25" spans="1:6">
      <c r="A25" s="5" t="s">
        <v>309</v>
      </c>
      <c r="B25" s="10" t="s">
        <v>274</v>
      </c>
      <c r="C25" s="10" t="s">
        <v>284</v>
      </c>
      <c r="D25" s="10" t="s">
        <v>308</v>
      </c>
      <c r="E25" s="10" t="s">
        <v>306</v>
      </c>
      <c r="F25" s="5"/>
    </row>
    <row r="26" spans="1:6">
      <c r="A26" s="7" t="s">
        <v>310</v>
      </c>
      <c r="B26" s="10" t="s">
        <v>7</v>
      </c>
      <c r="C26" s="10" t="s">
        <v>270</v>
      </c>
      <c r="D26" s="10" t="s">
        <v>308</v>
      </c>
      <c r="E26" s="9" t="s">
        <v>272</v>
      </c>
      <c r="F26" s="7"/>
    </row>
    <row r="27" spans="1:6">
      <c r="A27" s="5" t="s">
        <v>311</v>
      </c>
      <c r="B27" s="10" t="s">
        <v>16</v>
      </c>
      <c r="C27" s="10" t="s">
        <v>312</v>
      </c>
      <c r="D27" s="10" t="s">
        <v>313</v>
      </c>
      <c r="E27" s="10" t="s">
        <v>306</v>
      </c>
      <c r="F27" s="5"/>
    </row>
    <row r="28" spans="1:6">
      <c r="A28" s="7" t="s">
        <v>314</v>
      </c>
      <c r="B28" s="10" t="s">
        <v>16</v>
      </c>
      <c r="C28" s="10" t="s">
        <v>284</v>
      </c>
      <c r="D28" s="10" t="s">
        <v>313</v>
      </c>
      <c r="E28" s="10" t="s">
        <v>306</v>
      </c>
      <c r="F28" s="7"/>
    </row>
    <row r="29" spans="1:6">
      <c r="A29" s="5" t="s">
        <v>315</v>
      </c>
      <c r="B29" s="10" t="s">
        <v>293</v>
      </c>
      <c r="C29" s="10" t="s">
        <v>284</v>
      </c>
      <c r="D29" s="10" t="s">
        <v>313</v>
      </c>
      <c r="E29" s="10" t="s">
        <v>306</v>
      </c>
      <c r="F29" s="5"/>
    </row>
    <row r="30" spans="1:6">
      <c r="A30" s="7" t="s">
        <v>316</v>
      </c>
      <c r="B30" s="10" t="s">
        <v>12</v>
      </c>
      <c r="C30" s="10" t="s">
        <v>270</v>
      </c>
      <c r="D30" s="10" t="s">
        <v>317</v>
      </c>
      <c r="E30" s="10" t="s">
        <v>306</v>
      </c>
      <c r="F30" s="7"/>
    </row>
    <row r="31" spans="1:6">
      <c r="A31" s="5" t="s">
        <v>318</v>
      </c>
      <c r="B31" s="10" t="s">
        <v>274</v>
      </c>
      <c r="C31" s="10" t="s">
        <v>270</v>
      </c>
      <c r="D31" s="10" t="s">
        <v>317</v>
      </c>
      <c r="E31" s="10" t="s">
        <v>306</v>
      </c>
      <c r="F31" s="5"/>
    </row>
    <row r="32" spans="1:6">
      <c r="A32" s="7" t="s">
        <v>319</v>
      </c>
      <c r="B32" s="10" t="s">
        <v>278</v>
      </c>
      <c r="C32" s="10" t="s">
        <v>284</v>
      </c>
      <c r="D32" s="10" t="s">
        <v>317</v>
      </c>
      <c r="E32" s="21" t="s">
        <v>297</v>
      </c>
      <c r="F32" s="7" t="s">
        <v>320</v>
      </c>
    </row>
    <row r="33" spans="1:6">
      <c r="A33" s="5" t="s">
        <v>321</v>
      </c>
      <c r="B33" s="10" t="s">
        <v>278</v>
      </c>
      <c r="C33" s="10" t="s">
        <v>270</v>
      </c>
      <c r="D33" s="10" t="s">
        <v>322</v>
      </c>
      <c r="E33" s="10" t="s">
        <v>306</v>
      </c>
      <c r="F33" s="5"/>
    </row>
    <row r="34" spans="1:6">
      <c r="A34" s="7" t="s">
        <v>323</v>
      </c>
      <c r="B34" s="10" t="s">
        <v>7</v>
      </c>
      <c r="C34" s="10" t="s">
        <v>270</v>
      </c>
      <c r="D34" s="10" t="s">
        <v>322</v>
      </c>
      <c r="E34" s="10" t="s">
        <v>306</v>
      </c>
      <c r="F34" s="7"/>
    </row>
    <row r="35" spans="1:6">
      <c r="A35" s="5" t="s">
        <v>324</v>
      </c>
      <c r="B35" s="10" t="s">
        <v>274</v>
      </c>
      <c r="C35" s="10" t="s">
        <v>270</v>
      </c>
      <c r="D35" s="10" t="s">
        <v>322</v>
      </c>
      <c r="E35" s="10" t="s">
        <v>306</v>
      </c>
      <c r="F35" s="5"/>
    </row>
    <row r="36" spans="1:6">
      <c r="A36" s="7" t="s">
        <v>325</v>
      </c>
      <c r="B36" s="10" t="s">
        <v>274</v>
      </c>
      <c r="C36" s="10" t="s">
        <v>270</v>
      </c>
      <c r="D36" s="10" t="s">
        <v>326</v>
      </c>
      <c r="E36" s="10" t="s">
        <v>306</v>
      </c>
      <c r="F36" s="7"/>
    </row>
    <row r="37" spans="1:6">
      <c r="A37" s="5" t="s">
        <v>327</v>
      </c>
      <c r="B37" s="10" t="s">
        <v>278</v>
      </c>
      <c r="C37" s="10" t="s">
        <v>284</v>
      </c>
      <c r="D37" s="10" t="s">
        <v>326</v>
      </c>
      <c r="E37" s="10" t="s">
        <v>306</v>
      </c>
      <c r="F37" s="5"/>
    </row>
    <row r="38" spans="1:6">
      <c r="A38" s="7" t="s">
        <v>328</v>
      </c>
      <c r="B38" s="10" t="s">
        <v>12</v>
      </c>
      <c r="C38" s="10" t="s">
        <v>270</v>
      </c>
      <c r="D38" s="10" t="s">
        <v>326</v>
      </c>
      <c r="E38" s="10" t="s">
        <v>306</v>
      </c>
      <c r="F38" s="7"/>
    </row>
    <row r="39" spans="1:6">
      <c r="A39" s="5" t="s">
        <v>329</v>
      </c>
      <c r="B39" s="10" t="s">
        <v>6</v>
      </c>
      <c r="C39" s="10" t="s">
        <v>270</v>
      </c>
      <c r="D39" s="10" t="s">
        <v>330</v>
      </c>
      <c r="E39" s="10" t="s">
        <v>306</v>
      </c>
      <c r="F39" s="5"/>
    </row>
    <row r="40" spans="1:6">
      <c r="A40" s="7" t="s">
        <v>331</v>
      </c>
      <c r="B40" s="10" t="s">
        <v>276</v>
      </c>
      <c r="C40" s="10" t="s">
        <v>270</v>
      </c>
      <c r="D40" s="10" t="s">
        <v>330</v>
      </c>
      <c r="E40" s="10" t="s">
        <v>306</v>
      </c>
      <c r="F40" s="7"/>
    </row>
    <row r="41" spans="1:6">
      <c r="A41" s="5" t="s">
        <v>332</v>
      </c>
      <c r="B41" s="10" t="s">
        <v>274</v>
      </c>
      <c r="C41" s="10" t="s">
        <v>270</v>
      </c>
      <c r="D41" s="10" t="s">
        <v>330</v>
      </c>
      <c r="E41" s="10" t="s">
        <v>306</v>
      </c>
      <c r="F41" s="5"/>
    </row>
    <row r="42" spans="1:6">
      <c r="A42" s="7" t="s">
        <v>333</v>
      </c>
      <c r="B42" s="10" t="s">
        <v>12</v>
      </c>
      <c r="C42" s="10" t="s">
        <v>270</v>
      </c>
      <c r="D42" s="10" t="s">
        <v>334</v>
      </c>
      <c r="E42" s="10" t="s">
        <v>306</v>
      </c>
      <c r="F42" s="7"/>
    </row>
    <row r="43" spans="1:6">
      <c r="A43" s="5" t="s">
        <v>335</v>
      </c>
      <c r="B43" s="10" t="s">
        <v>274</v>
      </c>
      <c r="C43" s="10" t="s">
        <v>270</v>
      </c>
      <c r="D43" s="10" t="s">
        <v>334</v>
      </c>
      <c r="E43" s="10" t="s">
        <v>306</v>
      </c>
      <c r="F43" s="5"/>
    </row>
    <row r="44" spans="1:6">
      <c r="A44" s="7" t="s">
        <v>336</v>
      </c>
      <c r="B44" s="10" t="s">
        <v>274</v>
      </c>
      <c r="C44" s="10" t="s">
        <v>312</v>
      </c>
      <c r="D44" s="10" t="s">
        <v>334</v>
      </c>
      <c r="E44" s="10" t="s">
        <v>306</v>
      </c>
      <c r="F44" s="7" t="s">
        <v>337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D4605A"/>
  </sheetPr>
  <dimension ref="A1:J14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8.7109375" customWidth="1"/>
    <col min="3" max="9" width="14.7109375" customWidth="1"/>
    <col min="10" max="10" width="12.7109375" customWidth="1"/>
  </cols>
  <sheetData>
    <row r="1" spans="1:10" ht="50" customHeight="1">
      <c r="A1" s="1" t="s">
        <v>338</v>
      </c>
      <c r="B1" s="1"/>
      <c r="C1" s="1"/>
      <c r="D1" s="1"/>
      <c r="E1" s="1"/>
      <c r="F1" s="1"/>
      <c r="G1" s="1"/>
      <c r="H1" s="1"/>
      <c r="I1" s="1"/>
      <c r="J1" s="1"/>
    </row>
    <row r="2" spans="1:10" ht="25" customHeight="1">
      <c r="A2" s="2" t="s">
        <v>339</v>
      </c>
      <c r="B2" s="2"/>
      <c r="C2" s="2"/>
      <c r="D2" s="2"/>
      <c r="E2" s="2"/>
      <c r="F2" s="2"/>
      <c r="G2" s="2"/>
      <c r="H2" s="2"/>
      <c r="I2" s="2"/>
      <c r="J2" s="2"/>
    </row>
    <row r="3" spans="1:10"/>
    <row r="4" spans="1:10" ht="30" customHeight="1">
      <c r="A4" s="4" t="s">
        <v>340</v>
      </c>
      <c r="B4" s="4" t="s">
        <v>341</v>
      </c>
      <c r="C4" s="4" t="s">
        <v>342</v>
      </c>
      <c r="D4" s="4" t="s">
        <v>343</v>
      </c>
      <c r="E4" s="4" t="s">
        <v>344</v>
      </c>
      <c r="F4" s="4" t="s">
        <v>345</v>
      </c>
      <c r="G4" s="4" t="s">
        <v>346</v>
      </c>
      <c r="H4" s="4" t="s">
        <v>347</v>
      </c>
      <c r="I4" s="4" t="s">
        <v>348</v>
      </c>
      <c r="J4" s="4" t="s">
        <v>349</v>
      </c>
    </row>
    <row r="5" spans="1:10">
      <c r="A5" s="5" t="s">
        <v>201</v>
      </c>
      <c r="B5" s="5" t="s">
        <v>6</v>
      </c>
      <c r="C5" s="6">
        <v>15000</v>
      </c>
      <c r="D5" s="6">
        <v>3000</v>
      </c>
      <c r="E5" s="5" t="s">
        <v>350</v>
      </c>
      <c r="F5" s="6">
        <v>5000</v>
      </c>
      <c r="G5" s="5" t="s">
        <v>206</v>
      </c>
      <c r="H5" s="6">
        <v>7000</v>
      </c>
      <c r="I5" s="5" t="s">
        <v>222</v>
      </c>
      <c r="J5" s="10" t="s">
        <v>43</v>
      </c>
    </row>
    <row r="6" spans="1:10">
      <c r="A6" s="7" t="s">
        <v>209</v>
      </c>
      <c r="B6" s="7" t="s">
        <v>7</v>
      </c>
      <c r="C6" s="8">
        <v>12000</v>
      </c>
      <c r="D6" s="8">
        <v>2000</v>
      </c>
      <c r="E6" s="7" t="s">
        <v>351</v>
      </c>
      <c r="F6" s="8">
        <v>4000</v>
      </c>
      <c r="G6" s="7" t="s">
        <v>352</v>
      </c>
      <c r="H6" s="8">
        <v>6000</v>
      </c>
      <c r="I6" s="7" t="s">
        <v>353</v>
      </c>
      <c r="J6" s="10" t="s">
        <v>43</v>
      </c>
    </row>
    <row r="7" spans="1:10">
      <c r="A7" s="5" t="s">
        <v>354</v>
      </c>
      <c r="B7" s="5" t="s">
        <v>8</v>
      </c>
      <c r="C7" s="6">
        <v>4200</v>
      </c>
      <c r="D7" s="6">
        <v>800</v>
      </c>
      <c r="E7" s="5" t="s">
        <v>355</v>
      </c>
      <c r="F7" s="6">
        <v>1400</v>
      </c>
      <c r="G7" s="5" t="s">
        <v>214</v>
      </c>
      <c r="H7" s="6">
        <v>2000</v>
      </c>
      <c r="I7" s="5" t="s">
        <v>356</v>
      </c>
      <c r="J7" s="10" t="s">
        <v>43</v>
      </c>
    </row>
    <row r="8" spans="1:10">
      <c r="A8" s="7" t="s">
        <v>357</v>
      </c>
      <c r="B8" s="7" t="s">
        <v>9</v>
      </c>
      <c r="C8" s="8">
        <v>2300</v>
      </c>
      <c r="D8" s="8">
        <v>500</v>
      </c>
      <c r="E8" s="7" t="s">
        <v>358</v>
      </c>
      <c r="F8" s="8">
        <v>800</v>
      </c>
      <c r="G8" s="7" t="s">
        <v>359</v>
      </c>
      <c r="H8" s="8">
        <v>1000</v>
      </c>
      <c r="I8" s="7" t="s">
        <v>360</v>
      </c>
      <c r="J8" s="10" t="s">
        <v>43</v>
      </c>
    </row>
    <row r="9" spans="1:10">
      <c r="A9" s="5" t="s">
        <v>361</v>
      </c>
      <c r="B9" s="5" t="s">
        <v>10</v>
      </c>
      <c r="C9" s="6">
        <v>3800</v>
      </c>
      <c r="D9" s="6">
        <v>760</v>
      </c>
      <c r="E9" s="5" t="s">
        <v>362</v>
      </c>
      <c r="F9" s="6">
        <v>1520</v>
      </c>
      <c r="G9" s="5" t="s">
        <v>363</v>
      </c>
      <c r="H9" s="6">
        <v>1520</v>
      </c>
      <c r="I9" s="5" t="s">
        <v>364</v>
      </c>
      <c r="J9" s="10" t="s">
        <v>43</v>
      </c>
    </row>
    <row r="10" spans="1:10">
      <c r="A10" s="7" t="s">
        <v>365</v>
      </c>
      <c r="B10" s="7" t="s">
        <v>11</v>
      </c>
      <c r="C10" s="8">
        <v>2500</v>
      </c>
      <c r="D10" s="8">
        <v>500</v>
      </c>
      <c r="E10" s="7" t="s">
        <v>366</v>
      </c>
      <c r="F10" s="8">
        <v>1000</v>
      </c>
      <c r="G10" s="7" t="s">
        <v>367</v>
      </c>
      <c r="H10" s="8">
        <v>1000</v>
      </c>
      <c r="I10" s="7" t="s">
        <v>368</v>
      </c>
      <c r="J10" s="10" t="s">
        <v>43</v>
      </c>
    </row>
    <row r="11" spans="1:10">
      <c r="A11" s="5" t="s">
        <v>369</v>
      </c>
      <c r="B11" s="5" t="s">
        <v>12</v>
      </c>
      <c r="C11" s="6">
        <v>3200</v>
      </c>
      <c r="D11" s="6">
        <v>640</v>
      </c>
      <c r="E11" s="5" t="s">
        <v>370</v>
      </c>
      <c r="F11" s="6">
        <v>1280</v>
      </c>
      <c r="G11" s="5" t="s">
        <v>222</v>
      </c>
      <c r="H11" s="6">
        <v>1280</v>
      </c>
      <c r="I11" s="5" t="s">
        <v>371</v>
      </c>
      <c r="J11" s="10" t="s">
        <v>43</v>
      </c>
    </row>
    <row r="12" spans="1:10">
      <c r="A12" s="7" t="s">
        <v>372</v>
      </c>
      <c r="B12" s="7" t="s">
        <v>13</v>
      </c>
      <c r="C12" s="8">
        <v>1100</v>
      </c>
      <c r="D12" s="8">
        <v>220</v>
      </c>
      <c r="E12" s="7" t="s">
        <v>373</v>
      </c>
      <c r="F12" s="8">
        <v>440</v>
      </c>
      <c r="G12" s="7" t="s">
        <v>374</v>
      </c>
      <c r="H12" s="8">
        <v>440</v>
      </c>
      <c r="I12" s="7" t="s">
        <v>375</v>
      </c>
      <c r="J12" s="10" t="s">
        <v>43</v>
      </c>
    </row>
    <row r="13" spans="1:10">
      <c r="A13" s="5" t="s">
        <v>376</v>
      </c>
      <c r="B13" s="5" t="s">
        <v>14</v>
      </c>
      <c r="C13" s="6">
        <v>750</v>
      </c>
      <c r="D13" s="6">
        <v>150</v>
      </c>
      <c r="E13" s="5" t="s">
        <v>377</v>
      </c>
      <c r="F13" s="6">
        <v>300</v>
      </c>
      <c r="G13" s="5" t="s">
        <v>378</v>
      </c>
      <c r="H13" s="6">
        <v>300</v>
      </c>
      <c r="I13" s="5" t="s">
        <v>379</v>
      </c>
      <c r="J13" s="10" t="s">
        <v>43</v>
      </c>
    </row>
    <row r="14" spans="1:10">
      <c r="A14" s="7" t="s">
        <v>380</v>
      </c>
      <c r="B14" s="7" t="s">
        <v>381</v>
      </c>
      <c r="C14" s="8">
        <v>1200</v>
      </c>
      <c r="D14" s="8">
        <v>240</v>
      </c>
      <c r="E14" s="7" t="s">
        <v>382</v>
      </c>
      <c r="F14" s="8">
        <v>480</v>
      </c>
      <c r="G14" s="7" t="s">
        <v>356</v>
      </c>
      <c r="H14" s="8">
        <v>480</v>
      </c>
      <c r="I14" s="7" t="s">
        <v>383</v>
      </c>
      <c r="J14" s="10" t="s">
        <v>43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C4848C"/>
  </sheetPr>
  <dimension ref="A1:F27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4.7109375" customWidth="1"/>
    <col min="2" max="2" width="30.7109375" customWidth="1"/>
    <col min="3" max="4" width="22.7109375" customWidth="1"/>
    <col min="5" max="5" width="25.7109375" customWidth="1"/>
    <col min="6" max="6" width="10.7109375" customWidth="1"/>
  </cols>
  <sheetData>
    <row r="1" spans="1:6" ht="50" customHeight="1">
      <c r="A1" s="1" t="s">
        <v>384</v>
      </c>
      <c r="B1" s="1"/>
      <c r="C1" s="1"/>
      <c r="D1" s="1"/>
      <c r="E1" s="1"/>
      <c r="F1" s="1"/>
    </row>
    <row r="2" spans="1:6" ht="25" customHeight="1">
      <c r="A2" s="2" t="s">
        <v>385</v>
      </c>
      <c r="B2" s="2"/>
      <c r="C2" s="2"/>
      <c r="D2" s="2"/>
      <c r="E2" s="2"/>
      <c r="F2" s="2"/>
    </row>
    <row r="3" spans="1:6"/>
    <row r="4" spans="1:6" ht="30" customHeight="1">
      <c r="A4" s="4" t="s">
        <v>386</v>
      </c>
      <c r="B4" s="4" t="s">
        <v>387</v>
      </c>
      <c r="C4" s="4" t="s">
        <v>388</v>
      </c>
      <c r="D4" s="4" t="s">
        <v>389</v>
      </c>
      <c r="E4" s="4" t="s">
        <v>65</v>
      </c>
      <c r="F4" s="4" t="s">
        <v>390</v>
      </c>
    </row>
    <row r="5" spans="1:6">
      <c r="A5" s="10" t="s">
        <v>391</v>
      </c>
      <c r="B5" s="5" t="s">
        <v>392</v>
      </c>
      <c r="C5" s="5"/>
      <c r="D5" s="5"/>
      <c r="E5" s="5"/>
      <c r="F5" s="10"/>
    </row>
    <row r="6" spans="1:6">
      <c r="A6" s="10" t="s">
        <v>393</v>
      </c>
      <c r="B6" s="7" t="s">
        <v>394</v>
      </c>
      <c r="C6" s="7" t="s">
        <v>395</v>
      </c>
      <c r="D6" s="7" t="s">
        <v>396</v>
      </c>
      <c r="E6" s="7"/>
      <c r="F6" s="10"/>
    </row>
    <row r="7" spans="1:6">
      <c r="A7" s="10" t="s">
        <v>397</v>
      </c>
      <c r="B7" s="5" t="s">
        <v>398</v>
      </c>
      <c r="C7" s="5"/>
      <c r="D7" s="5"/>
      <c r="E7" s="5"/>
      <c r="F7" s="10"/>
    </row>
    <row r="8" spans="1:6">
      <c r="A8" s="10" t="s">
        <v>399</v>
      </c>
      <c r="B8" s="7" t="s">
        <v>400</v>
      </c>
      <c r="C8" s="7" t="s">
        <v>395</v>
      </c>
      <c r="D8" s="7"/>
      <c r="E8" s="7"/>
      <c r="F8" s="10"/>
    </row>
    <row r="9" spans="1:6">
      <c r="A9" s="10" t="s">
        <v>401</v>
      </c>
      <c r="B9" s="5" t="s">
        <v>402</v>
      </c>
      <c r="C9" s="5" t="s">
        <v>403</v>
      </c>
      <c r="D9" s="5" t="s">
        <v>216</v>
      </c>
      <c r="E9" s="5"/>
      <c r="F9" s="10"/>
    </row>
    <row r="10" spans="1:6">
      <c r="A10" s="10" t="s">
        <v>404</v>
      </c>
      <c r="B10" s="7" t="s">
        <v>405</v>
      </c>
      <c r="C10" s="7" t="s">
        <v>403</v>
      </c>
      <c r="D10" s="7" t="s">
        <v>216</v>
      </c>
      <c r="E10" s="7"/>
      <c r="F10" s="10"/>
    </row>
    <row r="11" spans="1:6">
      <c r="A11" s="10" t="s">
        <v>406</v>
      </c>
      <c r="B11" s="5" t="s">
        <v>407</v>
      </c>
      <c r="C11" s="5" t="s">
        <v>408</v>
      </c>
      <c r="D11" s="5" t="s">
        <v>226</v>
      </c>
      <c r="E11" s="5"/>
      <c r="F11" s="10"/>
    </row>
    <row r="12" spans="1:6">
      <c r="A12" s="10" t="s">
        <v>409</v>
      </c>
      <c r="B12" s="7" t="s">
        <v>410</v>
      </c>
      <c r="C12" s="7" t="s">
        <v>395</v>
      </c>
      <c r="D12" s="7"/>
      <c r="E12" s="7" t="s">
        <v>411</v>
      </c>
      <c r="F12" s="10"/>
    </row>
    <row r="13" spans="1:6">
      <c r="A13" s="10" t="s">
        <v>412</v>
      </c>
      <c r="B13" s="5" t="s">
        <v>413</v>
      </c>
      <c r="C13" s="5" t="s">
        <v>408</v>
      </c>
      <c r="D13" s="5"/>
      <c r="E13" s="5"/>
      <c r="F13" s="10"/>
    </row>
    <row r="14" spans="1:6">
      <c r="A14" s="22" t="s">
        <v>414</v>
      </c>
      <c r="B14" s="23" t="s">
        <v>415</v>
      </c>
      <c r="C14" s="7" t="s">
        <v>408</v>
      </c>
      <c r="D14" s="7" t="s">
        <v>226</v>
      </c>
      <c r="E14" s="7" t="s">
        <v>416</v>
      </c>
      <c r="F14" s="10"/>
    </row>
    <row r="15" spans="1:6">
      <c r="A15" s="10" t="s">
        <v>417</v>
      </c>
      <c r="B15" s="5" t="s">
        <v>418</v>
      </c>
      <c r="C15" s="5" t="s">
        <v>419</v>
      </c>
      <c r="D15" s="5"/>
      <c r="E15" s="5"/>
      <c r="F15" s="10"/>
    </row>
    <row r="16" spans="1:6">
      <c r="A16" s="10" t="s">
        <v>420</v>
      </c>
      <c r="B16" s="7" t="s">
        <v>421</v>
      </c>
      <c r="C16" s="7" t="s">
        <v>422</v>
      </c>
      <c r="D16" s="7"/>
      <c r="E16" s="7"/>
      <c r="F16" s="10"/>
    </row>
    <row r="17" spans="1:6">
      <c r="A17" s="10" t="s">
        <v>423</v>
      </c>
      <c r="B17" s="5" t="s">
        <v>424</v>
      </c>
      <c r="C17" s="5" t="s">
        <v>422</v>
      </c>
      <c r="D17" s="5" t="s">
        <v>11</v>
      </c>
      <c r="E17" s="5" t="s">
        <v>425</v>
      </c>
      <c r="F17" s="10"/>
    </row>
    <row r="18" spans="1:6">
      <c r="A18" s="22" t="s">
        <v>426</v>
      </c>
      <c r="B18" s="23" t="s">
        <v>427</v>
      </c>
      <c r="C18" s="7" t="s">
        <v>422</v>
      </c>
      <c r="D18" s="7" t="s">
        <v>11</v>
      </c>
      <c r="E18" s="7" t="s">
        <v>428</v>
      </c>
      <c r="F18" s="10"/>
    </row>
    <row r="19" spans="1:6">
      <c r="A19" s="10" t="s">
        <v>429</v>
      </c>
      <c r="B19" s="5" t="s">
        <v>430</v>
      </c>
      <c r="C19" s="5" t="s">
        <v>422</v>
      </c>
      <c r="D19" s="5" t="s">
        <v>208</v>
      </c>
      <c r="E19" s="5"/>
      <c r="F19" s="10"/>
    </row>
    <row r="20" spans="1:6">
      <c r="A20" s="10" t="s">
        <v>431</v>
      </c>
      <c r="B20" s="7" t="s">
        <v>432</v>
      </c>
      <c r="C20" s="7" t="s">
        <v>422</v>
      </c>
      <c r="D20" s="7"/>
      <c r="E20" s="7" t="s">
        <v>433</v>
      </c>
      <c r="F20" s="10"/>
    </row>
    <row r="21" spans="1:6">
      <c r="A21" s="10" t="s">
        <v>434</v>
      </c>
      <c r="B21" s="5" t="s">
        <v>435</v>
      </c>
      <c r="C21" s="5" t="s">
        <v>422</v>
      </c>
      <c r="D21" s="5" t="s">
        <v>11</v>
      </c>
      <c r="E21" s="5"/>
      <c r="F21" s="10"/>
    </row>
    <row r="22" spans="1:6">
      <c r="A22" s="10" t="s">
        <v>436</v>
      </c>
      <c r="B22" s="7" t="s">
        <v>437</v>
      </c>
      <c r="C22" s="7" t="s">
        <v>422</v>
      </c>
      <c r="D22" s="7" t="s">
        <v>11</v>
      </c>
      <c r="E22" s="7"/>
      <c r="F22" s="10"/>
    </row>
    <row r="23" spans="1:6">
      <c r="A23" s="10" t="s">
        <v>438</v>
      </c>
      <c r="B23" s="5" t="s">
        <v>439</v>
      </c>
      <c r="C23" s="5" t="s">
        <v>422</v>
      </c>
      <c r="D23" s="5" t="s">
        <v>227</v>
      </c>
      <c r="E23" s="5"/>
      <c r="F23" s="10"/>
    </row>
    <row r="24" spans="1:6">
      <c r="A24" s="10" t="s">
        <v>440</v>
      </c>
      <c r="B24" s="7" t="s">
        <v>441</v>
      </c>
      <c r="C24" s="7" t="s">
        <v>422</v>
      </c>
      <c r="D24" s="7" t="s">
        <v>11</v>
      </c>
      <c r="E24" s="7"/>
      <c r="F24" s="10"/>
    </row>
    <row r="25" spans="1:6">
      <c r="A25" s="10" t="s">
        <v>442</v>
      </c>
      <c r="B25" s="5" t="s">
        <v>443</v>
      </c>
      <c r="C25" s="5" t="s">
        <v>422</v>
      </c>
      <c r="D25" s="5" t="s">
        <v>11</v>
      </c>
      <c r="E25" s="5"/>
      <c r="F25" s="10"/>
    </row>
    <row r="26" spans="1:6">
      <c r="A26" s="22" t="s">
        <v>444</v>
      </c>
      <c r="B26" s="23" t="s">
        <v>445</v>
      </c>
      <c r="C26" s="7" t="s">
        <v>422</v>
      </c>
      <c r="D26" s="7" t="s">
        <v>11</v>
      </c>
      <c r="E26" s="7" t="s">
        <v>446</v>
      </c>
      <c r="F26" s="10"/>
    </row>
    <row r="27" spans="1:6">
      <c r="A27" s="24" t="s">
        <v>447</v>
      </c>
      <c r="B27" s="25" t="s">
        <v>448</v>
      </c>
      <c r="C27" s="5" t="s">
        <v>449</v>
      </c>
      <c r="D27" s="5"/>
      <c r="E27" s="5" t="s">
        <v>450</v>
      </c>
      <c r="F27" s="10"/>
    </row>
  </sheetData>
  <mergeCells count="2">
    <mergeCell ref="A1:F1"/>
    <mergeCell ref="A2:F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1A1A2E"/>
  </sheetPr>
  <dimension ref="A1:C5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40.7109375" customWidth="1"/>
    <col min="2" max="2" width="14.7109375" customWidth="1"/>
    <col min="3" max="3" width="30.7109375" customWidth="1"/>
  </cols>
  <sheetData>
    <row r="1" spans="1:3" ht="50" customHeight="1">
      <c r="A1" s="1" t="s">
        <v>451</v>
      </c>
      <c r="B1" s="1"/>
      <c r="C1" s="1"/>
    </row>
    <row r="2" spans="1:3" ht="25" customHeight="1">
      <c r="A2" s="2" t="s">
        <v>452</v>
      </c>
      <c r="B2" s="2"/>
      <c r="C2" s="2"/>
    </row>
    <row r="3" spans="1:3"/>
    <row r="4" spans="1:3" ht="30" customHeight="1">
      <c r="A4" s="4" t="s">
        <v>453</v>
      </c>
      <c r="B4" s="4" t="s">
        <v>454</v>
      </c>
      <c r="C4" s="4" t="s">
        <v>455</v>
      </c>
    </row>
    <row r="5" spans="1:3" ht="25" customHeight="1">
      <c r="A5" s="3" t="s">
        <v>456</v>
      </c>
      <c r="B5" s="3"/>
      <c r="C5" s="3"/>
    </row>
    <row r="6" spans="1:3">
      <c r="A6" s="7" t="s">
        <v>457</v>
      </c>
      <c r="B6" s="9" t="s">
        <v>24</v>
      </c>
      <c r="C6" s="7"/>
    </row>
    <row r="7" spans="1:3">
      <c r="A7" s="5" t="s">
        <v>458</v>
      </c>
      <c r="B7" s="9" t="s">
        <v>24</v>
      </c>
      <c r="C7" s="5"/>
    </row>
    <row r="8" spans="1:3">
      <c r="A8" s="7" t="s">
        <v>459</v>
      </c>
      <c r="B8" s="9" t="s">
        <v>24</v>
      </c>
      <c r="C8" s="7"/>
    </row>
    <row r="9" spans="1:3">
      <c r="A9" s="5" t="s">
        <v>460</v>
      </c>
      <c r="B9" s="9" t="s">
        <v>24</v>
      </c>
      <c r="C9" s="5"/>
    </row>
    <row r="10" spans="1:3">
      <c r="A10" s="7" t="s">
        <v>461</v>
      </c>
      <c r="B10" s="9" t="s">
        <v>24</v>
      </c>
      <c r="C10" s="7"/>
    </row>
    <row r="11" spans="1:3">
      <c r="A11" s="5" t="s">
        <v>462</v>
      </c>
      <c r="B11" s="9" t="s">
        <v>24</v>
      </c>
      <c r="C11" s="5"/>
    </row>
    <row r="12" spans="1:3">
      <c r="A12" s="7" t="s">
        <v>463</v>
      </c>
      <c r="B12" s="9" t="s">
        <v>24</v>
      </c>
      <c r="C12" s="7"/>
    </row>
    <row r="13" spans="1:3">
      <c r="A13" s="5" t="s">
        <v>464</v>
      </c>
      <c r="B13" s="9" t="s">
        <v>24</v>
      </c>
      <c r="C13" s="5"/>
    </row>
    <row r="14" spans="1:3" ht="25" customHeight="1">
      <c r="A14" s="3" t="s">
        <v>465</v>
      </c>
      <c r="B14" s="3"/>
      <c r="C14" s="3"/>
    </row>
    <row r="15" spans="1:3">
      <c r="A15" s="5" t="s">
        <v>466</v>
      </c>
      <c r="B15" s="9" t="s">
        <v>24</v>
      </c>
      <c r="C15" s="5"/>
    </row>
    <row r="16" spans="1:3">
      <c r="A16" s="7" t="s">
        <v>467</v>
      </c>
      <c r="B16" s="9" t="s">
        <v>24</v>
      </c>
      <c r="C16" s="7"/>
    </row>
    <row r="17" spans="1:3">
      <c r="A17" s="5" t="s">
        <v>468</v>
      </c>
      <c r="B17" s="9" t="s">
        <v>24</v>
      </c>
      <c r="C17" s="5"/>
    </row>
    <row r="18" spans="1:3">
      <c r="A18" s="7" t="s">
        <v>469</v>
      </c>
      <c r="B18" s="9" t="s">
        <v>24</v>
      </c>
      <c r="C18" s="7"/>
    </row>
    <row r="19" spans="1:3">
      <c r="A19" s="5" t="s">
        <v>470</v>
      </c>
      <c r="B19" s="10"/>
      <c r="C19" s="5" t="s">
        <v>471</v>
      </c>
    </row>
    <row r="20" spans="1:3">
      <c r="A20" s="7" t="s">
        <v>472</v>
      </c>
      <c r="B20" s="9" t="s">
        <v>24</v>
      </c>
      <c r="C20" s="7"/>
    </row>
    <row r="21" spans="1:3">
      <c r="A21" s="5" t="s">
        <v>473</v>
      </c>
      <c r="B21" s="9" t="s">
        <v>24</v>
      </c>
      <c r="C21" s="5"/>
    </row>
    <row r="22" spans="1:3" ht="25" customHeight="1">
      <c r="A22" s="3" t="s">
        <v>474</v>
      </c>
      <c r="B22" s="3"/>
      <c r="C22" s="3"/>
    </row>
    <row r="23" spans="1:3">
      <c r="A23" s="5" t="s">
        <v>475</v>
      </c>
      <c r="B23" s="9" t="s">
        <v>24</v>
      </c>
      <c r="C23" s="5"/>
    </row>
    <row r="24" spans="1:3">
      <c r="A24" s="7" t="s">
        <v>476</v>
      </c>
      <c r="B24" s="9" t="s">
        <v>24</v>
      </c>
      <c r="C24" s="7"/>
    </row>
    <row r="25" spans="1:3">
      <c r="A25" s="5" t="s">
        <v>477</v>
      </c>
      <c r="B25" s="9" t="s">
        <v>24</v>
      </c>
      <c r="C25" s="5"/>
    </row>
    <row r="26" spans="1:3">
      <c r="A26" s="7" t="s">
        <v>478</v>
      </c>
      <c r="B26" s="10"/>
      <c r="C26" s="7" t="s">
        <v>479</v>
      </c>
    </row>
    <row r="27" spans="1:3">
      <c r="A27" s="5" t="s">
        <v>480</v>
      </c>
      <c r="B27" s="9" t="s">
        <v>24</v>
      </c>
      <c r="C27" s="5"/>
    </row>
    <row r="28" spans="1:3">
      <c r="A28" s="7" t="s">
        <v>481</v>
      </c>
      <c r="B28" s="9" t="s">
        <v>24</v>
      </c>
      <c r="C28" s="7"/>
    </row>
    <row r="29" spans="1:3">
      <c r="A29" s="5" t="s">
        <v>482</v>
      </c>
      <c r="B29" s="9" t="s">
        <v>24</v>
      </c>
      <c r="C29" s="5"/>
    </row>
    <row r="30" spans="1:3">
      <c r="A30" s="7" t="s">
        <v>483</v>
      </c>
      <c r="B30" s="9" t="s">
        <v>24</v>
      </c>
      <c r="C30" s="7"/>
    </row>
    <row r="31" spans="1:3" ht="25" customHeight="1">
      <c r="A31" s="3" t="s">
        <v>484</v>
      </c>
      <c r="B31" s="3"/>
      <c r="C31" s="3"/>
    </row>
    <row r="32" spans="1:3">
      <c r="A32" s="7" t="s">
        <v>424</v>
      </c>
      <c r="B32" s="9" t="s">
        <v>24</v>
      </c>
      <c r="C32" s="7"/>
    </row>
    <row r="33" spans="1:3">
      <c r="A33" s="5" t="s">
        <v>485</v>
      </c>
      <c r="B33" s="9" t="s">
        <v>24</v>
      </c>
      <c r="C33" s="5"/>
    </row>
    <row r="34" spans="1:3">
      <c r="A34" s="7" t="s">
        <v>435</v>
      </c>
      <c r="B34" s="9" t="s">
        <v>24</v>
      </c>
      <c r="C34" s="7"/>
    </row>
    <row r="35" spans="1:3">
      <c r="A35" s="5" t="s">
        <v>439</v>
      </c>
      <c r="B35" s="9" t="s">
        <v>24</v>
      </c>
      <c r="C35" s="5"/>
    </row>
    <row r="36" spans="1:3">
      <c r="A36" s="7" t="s">
        <v>432</v>
      </c>
      <c r="B36" s="9" t="s">
        <v>24</v>
      </c>
      <c r="C36" s="7"/>
    </row>
    <row r="37" spans="1:3">
      <c r="A37" s="5" t="s">
        <v>441</v>
      </c>
      <c r="B37" s="9" t="s">
        <v>24</v>
      </c>
      <c r="C37" s="5"/>
    </row>
    <row r="38" spans="1:3">
      <c r="A38" s="7" t="s">
        <v>486</v>
      </c>
      <c r="B38" s="9" t="s">
        <v>24</v>
      </c>
      <c r="C38" s="7"/>
    </row>
    <row r="39" spans="1:3">
      <c r="A39" s="5" t="s">
        <v>487</v>
      </c>
      <c r="B39" s="10"/>
      <c r="C39" s="5" t="s">
        <v>488</v>
      </c>
    </row>
    <row r="40" spans="1:3">
      <c r="A40" s="7" t="s">
        <v>448</v>
      </c>
      <c r="B40" s="9" t="s">
        <v>24</v>
      </c>
      <c r="C40" s="7" t="s">
        <v>489</v>
      </c>
    </row>
    <row r="41" spans="1:3" ht="25" customHeight="1">
      <c r="A41" s="3" t="s">
        <v>490</v>
      </c>
      <c r="B41" s="3"/>
      <c r="C41" s="3"/>
    </row>
    <row r="42" spans="1:3">
      <c r="A42" s="7" t="s">
        <v>491</v>
      </c>
      <c r="B42" s="9" t="s">
        <v>24</v>
      </c>
      <c r="C42" s="7"/>
    </row>
    <row r="43" spans="1:3">
      <c r="A43" s="5" t="s">
        <v>10</v>
      </c>
      <c r="B43" s="9" t="s">
        <v>24</v>
      </c>
      <c r="C43" s="5"/>
    </row>
    <row r="44" spans="1:3">
      <c r="A44" s="7" t="s">
        <v>492</v>
      </c>
      <c r="B44" s="9" t="s">
        <v>24</v>
      </c>
      <c r="C44" s="7"/>
    </row>
    <row r="45" spans="1:3">
      <c r="A45" s="5" t="s">
        <v>493</v>
      </c>
      <c r="B45" s="9" t="s">
        <v>24</v>
      </c>
      <c r="C45" s="5"/>
    </row>
    <row r="46" spans="1:3">
      <c r="A46" s="7" t="s">
        <v>14</v>
      </c>
      <c r="B46" s="9" t="s">
        <v>24</v>
      </c>
      <c r="C46" s="7"/>
    </row>
    <row r="47" spans="1:3">
      <c r="A47" s="5" t="s">
        <v>6</v>
      </c>
      <c r="B47" s="9" t="s">
        <v>24</v>
      </c>
      <c r="C47" s="5"/>
    </row>
    <row r="48" spans="1:3">
      <c r="A48" s="7" t="s">
        <v>381</v>
      </c>
      <c r="B48" s="9" t="s">
        <v>24</v>
      </c>
      <c r="C48" s="7"/>
    </row>
    <row r="49" spans="1:3">
      <c r="A49" s="5" t="s">
        <v>494</v>
      </c>
      <c r="B49" s="9" t="s">
        <v>24</v>
      </c>
      <c r="C49" s="5"/>
    </row>
    <row r="50" spans="1:3">
      <c r="A50" s="7" t="s">
        <v>495</v>
      </c>
      <c r="B50" s="9" t="s">
        <v>24</v>
      </c>
      <c r="C50" s="7"/>
    </row>
    <row r="51" spans="1:3">
      <c r="A51" s="5" t="s">
        <v>496</v>
      </c>
      <c r="B51" s="9" t="s">
        <v>24</v>
      </c>
      <c r="C51" s="5"/>
    </row>
    <row r="52" spans="1:3">
      <c r="A52" s="7" t="s">
        <v>497</v>
      </c>
      <c r="B52" s="9" t="s">
        <v>24</v>
      </c>
      <c r="C52" s="7"/>
    </row>
  </sheetData>
  <mergeCells count="7">
    <mergeCell ref="A1:C1"/>
    <mergeCell ref="A2:C2"/>
    <mergeCell ref="A5:C5"/>
    <mergeCell ref="A14:C14"/>
    <mergeCell ref="A22:C22"/>
    <mergeCell ref="A31:C31"/>
    <mergeCell ref="A41:C4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7A9E7E"/>
  </sheetPr>
  <dimension ref="A1:H1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0.7109375" customWidth="1"/>
    <col min="2" max="2" width="30.7109375" customWidth="1"/>
    <col min="3" max="3" width="12.7109375" customWidth="1"/>
    <col min="4" max="4" width="35.7109375" customWidth="1"/>
    <col min="5" max="5" width="12.7109375" customWidth="1"/>
    <col min="6" max="6" width="16.7109375" customWidth="1"/>
    <col min="7" max="7" width="14.7109375" customWidth="1"/>
    <col min="8" max="8" width="25.7109375" customWidth="1"/>
  </cols>
  <sheetData>
    <row r="1" spans="1:8" ht="50" customHeight="1">
      <c r="A1" s="1" t="s">
        <v>498</v>
      </c>
      <c r="B1" s="1"/>
      <c r="C1" s="1"/>
      <c r="D1" s="1"/>
      <c r="E1" s="1"/>
      <c r="F1" s="1"/>
      <c r="G1" s="1"/>
      <c r="H1" s="1"/>
    </row>
    <row r="2" spans="1:8" ht="25" customHeight="1">
      <c r="A2" s="2" t="s">
        <v>499</v>
      </c>
      <c r="B2" s="2"/>
      <c r="C2" s="2"/>
      <c r="D2" s="2"/>
      <c r="E2" s="2"/>
      <c r="F2" s="2"/>
      <c r="G2" s="2"/>
      <c r="H2" s="2"/>
    </row>
    <row r="3" spans="1:8"/>
    <row r="4" spans="1:8" ht="30" customHeight="1">
      <c r="A4" s="4" t="s">
        <v>500</v>
      </c>
      <c r="B4" s="4" t="s">
        <v>501</v>
      </c>
      <c r="C4" s="4" t="s">
        <v>502</v>
      </c>
      <c r="D4" s="4" t="s">
        <v>503</v>
      </c>
      <c r="E4" s="4" t="s">
        <v>504</v>
      </c>
      <c r="F4" s="4" t="s">
        <v>505</v>
      </c>
      <c r="G4" s="4" t="s">
        <v>506</v>
      </c>
      <c r="H4" s="4" t="s">
        <v>65</v>
      </c>
    </row>
    <row r="5" spans="1:8">
      <c r="A5" s="5" t="s">
        <v>507</v>
      </c>
      <c r="B5" s="5" t="s">
        <v>508</v>
      </c>
      <c r="C5" s="6">
        <v>329.99</v>
      </c>
      <c r="D5" s="5" t="s">
        <v>509</v>
      </c>
      <c r="E5" s="10" t="s">
        <v>42</v>
      </c>
      <c r="F5" s="10" t="s">
        <v>42</v>
      </c>
      <c r="G5" s="5" t="s">
        <v>367</v>
      </c>
      <c r="H5" s="5" t="s">
        <v>510</v>
      </c>
    </row>
    <row r="6" spans="1:8">
      <c r="A6" s="7" t="s">
        <v>511</v>
      </c>
      <c r="B6" s="7" t="s">
        <v>512</v>
      </c>
      <c r="C6" s="8">
        <v>449.99</v>
      </c>
      <c r="D6" s="7" t="s">
        <v>513</v>
      </c>
      <c r="E6" s="10" t="s">
        <v>42</v>
      </c>
      <c r="F6" s="10" t="s">
        <v>42</v>
      </c>
      <c r="G6" s="7" t="s">
        <v>514</v>
      </c>
      <c r="H6" s="7" t="s">
        <v>515</v>
      </c>
    </row>
    <row r="7" spans="1:8">
      <c r="A7" s="5" t="s">
        <v>516</v>
      </c>
      <c r="B7" s="5" t="s">
        <v>517</v>
      </c>
      <c r="C7" s="6">
        <v>379</v>
      </c>
      <c r="D7" s="5" t="s">
        <v>518</v>
      </c>
      <c r="E7" s="10" t="s">
        <v>42</v>
      </c>
      <c r="F7" s="10" t="s">
        <v>43</v>
      </c>
      <c r="G7" s="5"/>
      <c r="H7" s="5" t="s">
        <v>519</v>
      </c>
    </row>
    <row r="8" spans="1:8">
      <c r="A8" s="7" t="s">
        <v>520</v>
      </c>
      <c r="B8" s="7" t="s">
        <v>521</v>
      </c>
      <c r="C8" s="8">
        <v>189.99</v>
      </c>
      <c r="D8" s="7" t="s">
        <v>522</v>
      </c>
      <c r="E8" s="10" t="s">
        <v>42</v>
      </c>
      <c r="F8" s="10" t="s">
        <v>42</v>
      </c>
      <c r="G8" s="7" t="s">
        <v>523</v>
      </c>
      <c r="H8" s="7"/>
    </row>
    <row r="9" spans="1:8">
      <c r="A9" s="5" t="s">
        <v>524</v>
      </c>
      <c r="B9" s="5" t="s">
        <v>525</v>
      </c>
      <c r="C9" s="6">
        <v>159.99</v>
      </c>
      <c r="D9" s="5" t="s">
        <v>526</v>
      </c>
      <c r="E9" s="10" t="s">
        <v>42</v>
      </c>
      <c r="F9" s="10" t="s">
        <v>43</v>
      </c>
      <c r="G9" s="5"/>
      <c r="H9" s="5" t="s">
        <v>527</v>
      </c>
    </row>
    <row r="10" spans="1:8">
      <c r="A10" s="7" t="s">
        <v>528</v>
      </c>
      <c r="B10" s="7" t="s">
        <v>529</v>
      </c>
      <c r="C10" s="8">
        <v>299.99</v>
      </c>
      <c r="D10" s="7" t="s">
        <v>530</v>
      </c>
      <c r="E10" s="10" t="s">
        <v>42</v>
      </c>
      <c r="F10" s="10" t="s">
        <v>43</v>
      </c>
      <c r="G10" s="7"/>
      <c r="H10" s="7" t="s">
        <v>531</v>
      </c>
    </row>
    <row r="11" spans="1:8">
      <c r="A11" s="5" t="s">
        <v>507</v>
      </c>
      <c r="B11" s="5" t="s">
        <v>532</v>
      </c>
      <c r="C11" s="6">
        <v>89.98999999999999</v>
      </c>
      <c r="D11" s="5" t="s">
        <v>533</v>
      </c>
      <c r="E11" s="10" t="s">
        <v>42</v>
      </c>
      <c r="F11" s="10" t="s">
        <v>42</v>
      </c>
      <c r="G11" s="5" t="s">
        <v>534</v>
      </c>
      <c r="H11" s="5"/>
    </row>
    <row r="12" spans="1:8">
      <c r="A12" s="7" t="s">
        <v>516</v>
      </c>
      <c r="B12" s="7" t="s">
        <v>535</v>
      </c>
      <c r="C12" s="8">
        <v>99.98999999999999</v>
      </c>
      <c r="D12" s="7" t="s">
        <v>536</v>
      </c>
      <c r="E12" s="10" t="s">
        <v>42</v>
      </c>
      <c r="F12" s="10" t="s">
        <v>43</v>
      </c>
      <c r="G12" s="7"/>
      <c r="H12" s="7" t="s">
        <v>537</v>
      </c>
    </row>
    <row r="13" spans="1:8">
      <c r="A13" s="5" t="s">
        <v>511</v>
      </c>
      <c r="B13" s="5" t="s">
        <v>538</v>
      </c>
      <c r="C13" s="6">
        <v>79.98999999999999</v>
      </c>
      <c r="D13" s="5" t="s">
        <v>539</v>
      </c>
      <c r="E13" s="10" t="s">
        <v>42</v>
      </c>
      <c r="F13" s="10" t="s">
        <v>42</v>
      </c>
      <c r="G13" s="5" t="s">
        <v>540</v>
      </c>
      <c r="H13" s="5"/>
    </row>
    <row r="14" spans="1:8">
      <c r="A14" s="7" t="s">
        <v>541</v>
      </c>
      <c r="B14" s="7" t="s">
        <v>542</v>
      </c>
      <c r="C14" s="8">
        <v>249.99</v>
      </c>
      <c r="D14" s="7" t="s">
        <v>543</v>
      </c>
      <c r="E14" s="10" t="s">
        <v>43</v>
      </c>
      <c r="F14" s="10" t="s">
        <v>137</v>
      </c>
      <c r="G14" s="7"/>
      <c r="H14" s="7" t="s">
        <v>544</v>
      </c>
    </row>
  </sheetData>
  <mergeCells count="2">
    <mergeCell ref="A1:H1"/>
    <mergeCell ref="A2:H2"/>
  </mergeCells>
  <hyperlinks>
    <hyperlink ref="D5" r:id="rId1"/>
    <hyperlink ref="D6" r:id="rId2"/>
    <hyperlink ref="D7" r:id="rId3"/>
    <hyperlink ref="D8" r:id="rId4"/>
    <hyperlink ref="D9" r:id="rId5"/>
    <hyperlink ref="D10" r:id="rId6"/>
    <hyperlink ref="D11" r:id="rId7"/>
    <hyperlink ref="D12" r:id="rId8"/>
    <hyperlink ref="D13" r:id="rId9"/>
    <hyperlink ref="D14" r:id="rId10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C4848C"/>
  </sheetPr>
  <dimension ref="A1:G20"/>
  <sheetViews>
    <sheetView workbookViewId="0">
      <pane ySplit="5" topLeftCell="A6" activePane="bottomLeft" state="frozen"/>
      <selection pane="bottomLeft"/>
    </sheetView>
  </sheetViews>
  <sheetFormatPr defaultRowHeight="15"/>
  <cols>
    <col min="1" max="1" width="30.7109375" customWidth="1"/>
    <col min="2" max="2" width="22.7109375" customWidth="1"/>
    <col min="3" max="3" width="14.7109375" customWidth="1"/>
    <col min="4" max="4" width="12.7109375" customWidth="1"/>
    <col min="5" max="5" width="16.7109375" customWidth="1"/>
    <col min="6" max="6" width="14.7109375" customWidth="1"/>
    <col min="7" max="7" width="25.7109375" customWidth="1"/>
  </cols>
  <sheetData>
    <row r="1" spans="1:7" ht="50" customHeight="1">
      <c r="A1" s="1" t="s">
        <v>545</v>
      </c>
      <c r="B1" s="1"/>
      <c r="C1" s="1"/>
      <c r="D1" s="1"/>
      <c r="E1" s="1"/>
      <c r="F1" s="1"/>
      <c r="G1" s="1"/>
    </row>
    <row r="2" spans="1:7" ht="25" customHeight="1">
      <c r="A2" s="2" t="s">
        <v>546</v>
      </c>
      <c r="B2" s="2"/>
      <c r="C2" s="2"/>
      <c r="D2" s="2"/>
      <c r="E2" s="2"/>
      <c r="F2" s="2"/>
      <c r="G2" s="2"/>
    </row>
    <row r="3" spans="1:7" ht="30" customHeight="1">
      <c r="A3" s="13" t="s">
        <v>547</v>
      </c>
      <c r="B3" s="13"/>
      <c r="C3" s="13"/>
      <c r="D3" s="13"/>
      <c r="E3" s="13"/>
      <c r="F3" s="13"/>
      <c r="G3" s="13"/>
    </row>
    <row r="4" spans="1:7"/>
    <row r="5" spans="1:7" ht="30" customHeight="1">
      <c r="A5" s="4" t="s">
        <v>548</v>
      </c>
      <c r="B5" s="4" t="s">
        <v>549</v>
      </c>
      <c r="C5" s="4" t="s">
        <v>550</v>
      </c>
      <c r="D5" s="4" t="s">
        <v>551</v>
      </c>
      <c r="E5" s="4" t="s">
        <v>505</v>
      </c>
      <c r="F5" s="4" t="s">
        <v>506</v>
      </c>
      <c r="G5" s="4" t="s">
        <v>65</v>
      </c>
    </row>
    <row r="6" spans="1:7">
      <c r="A6" s="5" t="s">
        <v>552</v>
      </c>
      <c r="B6" s="5" t="s">
        <v>553</v>
      </c>
      <c r="C6" s="5" t="s">
        <v>206</v>
      </c>
      <c r="D6" s="6">
        <v>329.99</v>
      </c>
      <c r="E6" s="9" t="s">
        <v>554</v>
      </c>
      <c r="F6" s="10" t="s">
        <v>367</v>
      </c>
      <c r="G6" s="5"/>
    </row>
    <row r="7" spans="1:7">
      <c r="A7" s="7" t="s">
        <v>512</v>
      </c>
      <c r="B7" s="7" t="s">
        <v>555</v>
      </c>
      <c r="C7" s="7" t="s">
        <v>556</v>
      </c>
      <c r="D7" s="8">
        <v>449.99</v>
      </c>
      <c r="E7" s="9" t="s">
        <v>554</v>
      </c>
      <c r="F7" s="10" t="s">
        <v>514</v>
      </c>
      <c r="G7" s="7"/>
    </row>
    <row r="8" spans="1:7">
      <c r="A8" s="5" t="s">
        <v>557</v>
      </c>
      <c r="B8" s="5" t="s">
        <v>558</v>
      </c>
      <c r="C8" s="5" t="s">
        <v>352</v>
      </c>
      <c r="D8" s="6">
        <v>379</v>
      </c>
      <c r="E8" s="9" t="s">
        <v>554</v>
      </c>
      <c r="F8" s="10" t="s">
        <v>523</v>
      </c>
      <c r="G8" s="5"/>
    </row>
    <row r="9" spans="1:7">
      <c r="A9" s="7" t="s">
        <v>521</v>
      </c>
      <c r="B9" s="7" t="s">
        <v>559</v>
      </c>
      <c r="C9" s="7" t="s">
        <v>560</v>
      </c>
      <c r="D9" s="8">
        <v>189.99</v>
      </c>
      <c r="E9" s="9" t="s">
        <v>554</v>
      </c>
      <c r="F9" s="10" t="s">
        <v>534</v>
      </c>
      <c r="G9" s="7"/>
    </row>
    <row r="10" spans="1:7">
      <c r="A10" s="5" t="s">
        <v>561</v>
      </c>
      <c r="B10" s="5" t="s">
        <v>562</v>
      </c>
      <c r="C10" s="5" t="s">
        <v>563</v>
      </c>
      <c r="D10" s="6">
        <v>159.99</v>
      </c>
      <c r="E10" s="9" t="s">
        <v>554</v>
      </c>
      <c r="F10" s="10" t="s">
        <v>540</v>
      </c>
      <c r="G10" s="5"/>
    </row>
    <row r="11" spans="1:7">
      <c r="A11" s="7" t="s">
        <v>564</v>
      </c>
      <c r="B11" s="7" t="s">
        <v>565</v>
      </c>
      <c r="C11" s="7" t="s">
        <v>566</v>
      </c>
      <c r="D11" s="8">
        <v>299.99</v>
      </c>
      <c r="E11" s="9" t="s">
        <v>554</v>
      </c>
      <c r="F11" s="10" t="s">
        <v>222</v>
      </c>
      <c r="G11" s="7"/>
    </row>
    <row r="12" spans="1:7">
      <c r="A12" s="5" t="s">
        <v>567</v>
      </c>
      <c r="B12" s="5" t="s">
        <v>568</v>
      </c>
      <c r="C12" s="5" t="s">
        <v>214</v>
      </c>
      <c r="D12" s="6">
        <v>89.98999999999999</v>
      </c>
      <c r="E12" s="9" t="s">
        <v>554</v>
      </c>
      <c r="F12" s="10" t="s">
        <v>374</v>
      </c>
      <c r="G12" s="5"/>
    </row>
    <row r="13" spans="1:7">
      <c r="A13" s="7" t="s">
        <v>569</v>
      </c>
      <c r="B13" s="7" t="s">
        <v>570</v>
      </c>
      <c r="C13" s="7" t="s">
        <v>359</v>
      </c>
      <c r="D13" s="8">
        <v>99.98999999999999</v>
      </c>
      <c r="E13" s="9" t="s">
        <v>554</v>
      </c>
      <c r="F13" s="10" t="s">
        <v>378</v>
      </c>
      <c r="G13" s="7"/>
    </row>
    <row r="14" spans="1:7">
      <c r="A14" s="5" t="s">
        <v>538</v>
      </c>
      <c r="B14" s="5" t="s">
        <v>571</v>
      </c>
      <c r="C14" s="5" t="s">
        <v>363</v>
      </c>
      <c r="D14" s="6">
        <v>79.98999999999999</v>
      </c>
      <c r="E14" s="11" t="s">
        <v>572</v>
      </c>
      <c r="F14" s="10"/>
      <c r="G14" s="5"/>
    </row>
    <row r="15" spans="1:7">
      <c r="A15" s="7" t="s">
        <v>542</v>
      </c>
      <c r="B15" s="7" t="s">
        <v>573</v>
      </c>
      <c r="C15" s="7" t="s">
        <v>367</v>
      </c>
      <c r="D15" s="8">
        <v>249.99</v>
      </c>
      <c r="E15" s="11" t="s">
        <v>572</v>
      </c>
      <c r="F15" s="10"/>
      <c r="G15" s="7" t="s">
        <v>574</v>
      </c>
    </row>
    <row r="16" spans="1:7">
      <c r="A16" s="5" t="s">
        <v>575</v>
      </c>
      <c r="B16" s="5" t="s">
        <v>576</v>
      </c>
      <c r="C16" s="5" t="s">
        <v>514</v>
      </c>
      <c r="D16" s="6">
        <v>500</v>
      </c>
      <c r="E16" s="11" t="s">
        <v>572</v>
      </c>
      <c r="F16" s="10"/>
      <c r="G16" s="5" t="s">
        <v>577</v>
      </c>
    </row>
    <row r="17" spans="1:7">
      <c r="A17" s="7" t="s">
        <v>575</v>
      </c>
      <c r="B17" s="7" t="s">
        <v>578</v>
      </c>
      <c r="C17" s="7" t="s">
        <v>523</v>
      </c>
      <c r="D17" s="8">
        <v>300</v>
      </c>
      <c r="E17" s="11" t="s">
        <v>572</v>
      </c>
      <c r="F17" s="10"/>
      <c r="G17" s="7" t="s">
        <v>577</v>
      </c>
    </row>
    <row r="18" spans="1:7">
      <c r="A18" s="5" t="s">
        <v>579</v>
      </c>
      <c r="B18" s="5" t="s">
        <v>580</v>
      </c>
      <c r="C18" s="5" t="s">
        <v>534</v>
      </c>
      <c r="D18" s="6">
        <v>200</v>
      </c>
      <c r="E18" s="11" t="s">
        <v>572</v>
      </c>
      <c r="F18" s="10"/>
      <c r="G18" s="5"/>
    </row>
    <row r="19" spans="1:7">
      <c r="A19" s="7" t="s">
        <v>581</v>
      </c>
      <c r="B19" s="7" t="s">
        <v>582</v>
      </c>
      <c r="C19" s="7" t="s">
        <v>540</v>
      </c>
      <c r="D19" s="8">
        <v>349.99</v>
      </c>
      <c r="E19" s="11" t="s">
        <v>572</v>
      </c>
      <c r="F19" s="10"/>
      <c r="G19" s="7"/>
    </row>
    <row r="20" spans="1:7">
      <c r="A20" s="5" t="s">
        <v>583</v>
      </c>
      <c r="B20" s="5" t="s">
        <v>584</v>
      </c>
      <c r="C20" s="5" t="s">
        <v>222</v>
      </c>
      <c r="D20" s="6">
        <v>89.98999999999999</v>
      </c>
      <c r="E20" s="11" t="s">
        <v>572</v>
      </c>
      <c r="F20" s="10"/>
      <c r="G20" s="5" t="s">
        <v>585</v>
      </c>
    </row>
  </sheetData>
  <mergeCells count="3">
    <mergeCell ref="A1:G1"/>
    <mergeCell ref="A2:G2"/>
    <mergeCell ref="A3:G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000080"/>
  </sheetPr>
  <dimension ref="A1:D38"/>
  <sheetViews>
    <sheetView workbookViewId="0"/>
  </sheetViews>
  <sheetFormatPr defaultRowHeight="15"/>
  <cols>
    <col min="1" max="1" width="22.7109375" customWidth="1"/>
    <col min="2" max="2" width="35.7109375" customWidth="1"/>
    <col min="3" max="3" width="22.7109375" customWidth="1"/>
    <col min="4" max="4" width="35.7109375" customWidth="1"/>
  </cols>
  <sheetData>
    <row r="1" spans="1:4" ht="50" customHeight="1">
      <c r="A1" s="1" t="s">
        <v>586</v>
      </c>
      <c r="B1" s="1"/>
      <c r="C1" s="1"/>
      <c r="D1" s="1"/>
    </row>
    <row r="2" spans="1:4" ht="25" customHeight="1">
      <c r="A2" s="2" t="s">
        <v>587</v>
      </c>
      <c r="B2" s="2"/>
      <c r="C2" s="2"/>
      <c r="D2" s="2"/>
    </row>
    <row r="3" spans="1:4">
      <c r="A3" s="3" t="s">
        <v>588</v>
      </c>
      <c r="B3" s="3"/>
      <c r="C3" s="3"/>
      <c r="D3" s="3"/>
    </row>
    <row r="4" spans="1:4" ht="25" customHeight="1"/>
    <row r="5" spans="1:4" ht="25" customHeight="1">
      <c r="A5" s="5" t="s">
        <v>589</v>
      </c>
      <c r="B5" s="14" t="s">
        <v>590</v>
      </c>
      <c r="C5" s="5" t="s">
        <v>591</v>
      </c>
      <c r="D5" s="14" t="s">
        <v>592</v>
      </c>
    </row>
    <row r="6" spans="1:4" ht="25" customHeight="1">
      <c r="A6" s="5" t="s">
        <v>593</v>
      </c>
      <c r="B6" s="14" t="s">
        <v>594</v>
      </c>
      <c r="C6" s="5" t="s">
        <v>595</v>
      </c>
      <c r="D6" s="14" t="s">
        <v>414</v>
      </c>
    </row>
    <row r="7" spans="1:4" ht="25" customHeight="1">
      <c r="A7" s="5" t="s">
        <v>596</v>
      </c>
      <c r="B7" s="14" t="s">
        <v>201</v>
      </c>
      <c r="C7" s="5" t="s">
        <v>597</v>
      </c>
      <c r="D7" s="14" t="s">
        <v>598</v>
      </c>
    </row>
    <row r="8" spans="1:4">
      <c r="A8" s="3" t="s">
        <v>599</v>
      </c>
      <c r="B8" s="3"/>
      <c r="C8" s="3"/>
      <c r="D8" s="3"/>
    </row>
    <row r="9" spans="1:4" ht="25" customHeight="1"/>
    <row r="10" spans="1:4" ht="25" customHeight="1">
      <c r="A10" s="5" t="s">
        <v>600</v>
      </c>
      <c r="B10" s="14" t="s">
        <v>601</v>
      </c>
      <c r="C10" s="14"/>
      <c r="D10" s="14"/>
    </row>
    <row r="11" spans="1:4" ht="25" customHeight="1">
      <c r="A11" s="5" t="s">
        <v>602</v>
      </c>
      <c r="B11" s="14" t="s">
        <v>603</v>
      </c>
      <c r="C11" s="14"/>
      <c r="D11" s="14"/>
    </row>
    <row r="12" spans="1:4"/>
    <row r="13" spans="1:4" ht="25" customHeight="1">
      <c r="A13" s="4" t="s">
        <v>604</v>
      </c>
      <c r="B13" s="4" t="s">
        <v>605</v>
      </c>
      <c r="C13" s="4" t="s">
        <v>65</v>
      </c>
      <c r="D13" s="4"/>
    </row>
    <row r="14" spans="1:4" ht="22" customHeight="1">
      <c r="A14" s="5" t="s">
        <v>71</v>
      </c>
      <c r="B14" s="5" t="s">
        <v>171</v>
      </c>
      <c r="C14" s="5" t="s">
        <v>606</v>
      </c>
      <c r="D14" s="5"/>
    </row>
    <row r="15" spans="1:4" ht="22" customHeight="1">
      <c r="A15" s="7" t="s">
        <v>77</v>
      </c>
      <c r="B15" s="7" t="s">
        <v>172</v>
      </c>
      <c r="C15" s="7" t="s">
        <v>607</v>
      </c>
      <c r="D15" s="7"/>
    </row>
    <row r="16" spans="1:4" ht="22" customHeight="1">
      <c r="A16" s="5" t="s">
        <v>608</v>
      </c>
      <c r="B16" s="5" t="s">
        <v>173</v>
      </c>
      <c r="C16" s="5"/>
      <c r="D16" s="5"/>
    </row>
    <row r="17" spans="1:4" ht="22" customHeight="1">
      <c r="A17" s="7" t="s">
        <v>608</v>
      </c>
      <c r="B17" s="7" t="s">
        <v>175</v>
      </c>
      <c r="C17" s="7"/>
      <c r="D17" s="7"/>
    </row>
    <row r="18" spans="1:4" ht="22" customHeight="1">
      <c r="A18" s="5" t="s">
        <v>608</v>
      </c>
      <c r="B18" s="5" t="s">
        <v>609</v>
      </c>
      <c r="C18" s="5"/>
      <c r="D18" s="5"/>
    </row>
    <row r="19" spans="1:4" ht="22" customHeight="1">
      <c r="A19" s="7" t="s">
        <v>608</v>
      </c>
      <c r="B19" s="7" t="s">
        <v>177</v>
      </c>
      <c r="C19" s="7"/>
      <c r="D19" s="7"/>
    </row>
    <row r="20" spans="1:4" ht="22" customHeight="1">
      <c r="A20" s="5" t="s">
        <v>610</v>
      </c>
      <c r="B20" s="5" t="s">
        <v>174</v>
      </c>
      <c r="C20" s="5"/>
      <c r="D20" s="5"/>
    </row>
    <row r="21" spans="1:4" ht="22" customHeight="1">
      <c r="A21" s="7" t="s">
        <v>610</v>
      </c>
      <c r="B21" s="7" t="s">
        <v>611</v>
      </c>
      <c r="C21" s="7"/>
      <c r="D21" s="7"/>
    </row>
    <row r="22" spans="1:4" ht="22" customHeight="1">
      <c r="A22" s="5" t="s">
        <v>610</v>
      </c>
      <c r="B22" s="5" t="s">
        <v>178</v>
      </c>
      <c r="C22" s="5"/>
      <c r="D22" s="5"/>
    </row>
    <row r="23" spans="1:4" ht="22" customHeight="1">
      <c r="A23" s="7" t="s">
        <v>610</v>
      </c>
      <c r="B23" s="7" t="s">
        <v>182</v>
      </c>
      <c r="C23" s="7"/>
      <c r="D23" s="7"/>
    </row>
    <row r="24" spans="1:4" ht="22" customHeight="1">
      <c r="A24" s="5" t="s">
        <v>612</v>
      </c>
      <c r="B24" s="5" t="s">
        <v>613</v>
      </c>
      <c r="C24" s="5" t="s">
        <v>614</v>
      </c>
      <c r="D24" s="5"/>
    </row>
    <row r="25" spans="1:4" ht="22" customHeight="1">
      <c r="A25" s="7" t="s">
        <v>615</v>
      </c>
      <c r="B25" s="7" t="s">
        <v>616</v>
      </c>
      <c r="C25" s="7" t="s">
        <v>617</v>
      </c>
      <c r="D25" s="7"/>
    </row>
    <row r="26" spans="1:4">
      <c r="A26" s="3" t="s">
        <v>618</v>
      </c>
      <c r="B26" s="3"/>
      <c r="C26" s="3"/>
      <c r="D26" s="3"/>
    </row>
    <row r="27" spans="1:4" ht="25" customHeight="1"/>
    <row r="28" spans="1:4" ht="25" customHeight="1">
      <c r="A28" s="5" t="s">
        <v>619</v>
      </c>
      <c r="B28" s="14" t="s">
        <v>620</v>
      </c>
      <c r="C28" s="14"/>
      <c r="D28" s="14"/>
    </row>
    <row r="29" spans="1:4" ht="25" customHeight="1">
      <c r="A29" s="5" t="s">
        <v>621</v>
      </c>
      <c r="B29" s="14"/>
      <c r="C29" s="14"/>
      <c r="D29" s="14"/>
    </row>
    <row r="30" spans="1:4">
      <c r="A30" s="3" t="s">
        <v>622</v>
      </c>
      <c r="B30" s="3"/>
      <c r="C30" s="3"/>
      <c r="D30" s="3"/>
    </row>
    <row r="31" spans="1:4" ht="25" customHeight="1"/>
    <row r="32" spans="1:4" ht="25" customHeight="1">
      <c r="A32" s="5" t="s">
        <v>623</v>
      </c>
      <c r="B32" s="14" t="s">
        <v>624</v>
      </c>
      <c r="C32" s="14"/>
      <c r="D32" s="14"/>
    </row>
    <row r="33" spans="1:4" ht="25" customHeight="1">
      <c r="A33" s="5" t="s">
        <v>625</v>
      </c>
      <c r="B33" s="14" t="s">
        <v>626</v>
      </c>
      <c r="C33" s="14"/>
      <c r="D33" s="14"/>
    </row>
    <row r="34" spans="1:4">
      <c r="A34" s="3" t="s">
        <v>627</v>
      </c>
      <c r="B34" s="3"/>
      <c r="C34" s="3"/>
      <c r="D34" s="3"/>
    </row>
    <row r="35" spans="1:4" ht="25" customHeight="1"/>
    <row r="36" spans="1:4" ht="25" customHeight="1">
      <c r="A36" s="5" t="s">
        <v>628</v>
      </c>
      <c r="B36" s="14" t="s">
        <v>629</v>
      </c>
      <c r="C36" s="14"/>
      <c r="D36" s="14"/>
    </row>
    <row r="37" spans="1:4" ht="25" customHeight="1">
      <c r="A37" s="5" t="s">
        <v>630</v>
      </c>
      <c r="B37" s="14"/>
      <c r="C37" s="14"/>
      <c r="D37" s="14"/>
    </row>
    <row r="38" spans="1:4" ht="30" customHeight="1">
      <c r="A38" s="5" t="s">
        <v>631</v>
      </c>
      <c r="B38" s="14"/>
      <c r="C38" s="14"/>
      <c r="D38" s="14"/>
    </row>
  </sheetData>
  <mergeCells count="29">
    <mergeCell ref="A1:D1"/>
    <mergeCell ref="A2:D2"/>
    <mergeCell ref="A3:D3"/>
    <mergeCell ref="A8:D8"/>
    <mergeCell ref="B10:D10"/>
    <mergeCell ref="B11:D11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C22:D22"/>
    <mergeCell ref="C23:D23"/>
    <mergeCell ref="C24:D24"/>
    <mergeCell ref="C25:D25"/>
    <mergeCell ref="A26:D26"/>
    <mergeCell ref="B28:D28"/>
    <mergeCell ref="B29:D29"/>
    <mergeCell ref="A30:D30"/>
    <mergeCell ref="B32:D32"/>
    <mergeCell ref="B33:D33"/>
    <mergeCell ref="A34:D34"/>
    <mergeCell ref="B36:D36"/>
    <mergeCell ref="B37:D37"/>
    <mergeCell ref="B38:D3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C5A572"/>
  </sheetPr>
  <dimension ref="A1:D22"/>
  <sheetViews>
    <sheetView workbookViewId="0"/>
  </sheetViews>
  <sheetFormatPr defaultRowHeight="15"/>
  <cols>
    <col min="1" max="1" width="22.7109375" customWidth="1"/>
    <col min="2" max="2" width="35.7109375" customWidth="1"/>
    <col min="3" max="3" width="22.7109375" customWidth="1"/>
    <col min="4" max="4" width="35.7109375" customWidth="1"/>
  </cols>
  <sheetData>
    <row r="1" spans="1:4" ht="50" customHeight="1">
      <c r="A1" s="1" t="s">
        <v>632</v>
      </c>
      <c r="B1" s="1"/>
      <c r="C1" s="1"/>
      <c r="D1" s="1"/>
    </row>
    <row r="2" spans="1:4" ht="25" customHeight="1">
      <c r="A2" s="2" t="s">
        <v>633</v>
      </c>
      <c r="B2" s="2"/>
      <c r="C2" s="2"/>
      <c r="D2" s="2"/>
    </row>
    <row r="3" spans="1:4">
      <c r="A3" s="3" t="s">
        <v>634</v>
      </c>
      <c r="B3" s="3"/>
      <c r="C3" s="3"/>
      <c r="D3" s="3"/>
    </row>
    <row r="4" spans="1:4" ht="25" customHeight="1"/>
    <row r="5" spans="1:4" ht="25" customHeight="1">
      <c r="A5" s="5" t="s">
        <v>635</v>
      </c>
      <c r="B5" s="14" t="s">
        <v>201</v>
      </c>
      <c r="C5" s="5" t="s">
        <v>636</v>
      </c>
      <c r="D5" s="14" t="s">
        <v>637</v>
      </c>
    </row>
    <row r="6" spans="1:4" ht="25" customHeight="1">
      <c r="A6" s="5" t="s">
        <v>638</v>
      </c>
      <c r="B6" s="14" t="s">
        <v>202</v>
      </c>
      <c r="C6" s="5" t="s">
        <v>639</v>
      </c>
      <c r="D6" s="14" t="s">
        <v>203</v>
      </c>
    </row>
    <row r="7" spans="1:4">
      <c r="A7" s="3" t="s">
        <v>640</v>
      </c>
      <c r="B7" s="3"/>
      <c r="C7" s="3"/>
      <c r="D7" s="3"/>
    </row>
    <row r="8" spans="1:4" ht="25" customHeight="1"/>
    <row r="9" spans="1:4" ht="25" customHeight="1">
      <c r="A9" s="5" t="s">
        <v>641</v>
      </c>
      <c r="B9" s="14" t="s">
        <v>642</v>
      </c>
      <c r="C9" s="5" t="s">
        <v>643</v>
      </c>
      <c r="D9" s="14" t="s">
        <v>644</v>
      </c>
    </row>
    <row r="10" spans="1:4" ht="25" customHeight="1">
      <c r="A10" s="5" t="s">
        <v>645</v>
      </c>
      <c r="B10" s="14" t="s">
        <v>646</v>
      </c>
      <c r="C10" s="5" t="s">
        <v>647</v>
      </c>
      <c r="D10" s="14" t="s">
        <v>648</v>
      </c>
    </row>
    <row r="11" spans="1:4" ht="25" customHeight="1">
      <c r="A11" s="5" t="s">
        <v>649</v>
      </c>
      <c r="B11" s="14" t="s">
        <v>650</v>
      </c>
      <c r="C11" s="5" t="s">
        <v>651</v>
      </c>
      <c r="D11" s="14" t="s">
        <v>652</v>
      </c>
    </row>
    <row r="12" spans="1:4" ht="25" customHeight="1">
      <c r="A12" s="5" t="s">
        <v>653</v>
      </c>
      <c r="B12" s="14" t="s">
        <v>654</v>
      </c>
      <c r="C12" s="5"/>
      <c r="D12" s="14"/>
    </row>
    <row r="13" spans="1:4">
      <c r="A13" s="3" t="s">
        <v>655</v>
      </c>
      <c r="B13" s="3"/>
      <c r="C13" s="3"/>
      <c r="D13" s="3"/>
    </row>
    <row r="14" spans="1:4" ht="25" customHeight="1"/>
    <row r="15" spans="1:4" ht="25" customHeight="1">
      <c r="A15" s="5" t="s">
        <v>656</v>
      </c>
      <c r="C15" s="5" t="s">
        <v>657</v>
      </c>
      <c r="D15" s="14" t="s">
        <v>658</v>
      </c>
    </row>
    <row r="16" spans="1:4" ht="25" customHeight="1">
      <c r="A16" s="5" t="s">
        <v>659</v>
      </c>
      <c r="C16" s="5" t="s">
        <v>660</v>
      </c>
      <c r="D16" s="14" t="s">
        <v>661</v>
      </c>
    </row>
    <row r="17" spans="1:4" ht="25" customHeight="1">
      <c r="A17" s="5" t="s">
        <v>662</v>
      </c>
      <c r="B17" s="14" t="s">
        <v>663</v>
      </c>
      <c r="C17" s="14"/>
      <c r="D17" s="14"/>
    </row>
    <row r="18" spans="1:4">
      <c r="A18" s="3" t="s">
        <v>664</v>
      </c>
      <c r="B18" s="3"/>
      <c r="C18" s="3"/>
      <c r="D18" s="3"/>
    </row>
    <row r="19" spans="1:4" ht="25" customHeight="1"/>
    <row r="20" spans="1:4" ht="25" customHeight="1">
      <c r="A20" s="5" t="s">
        <v>665</v>
      </c>
      <c r="B20" s="14" t="s">
        <v>666</v>
      </c>
      <c r="C20" s="5" t="s">
        <v>667</v>
      </c>
      <c r="D20" s="14" t="s">
        <v>668</v>
      </c>
    </row>
    <row r="21" spans="1:4" ht="25" customHeight="1">
      <c r="A21" s="5" t="s">
        <v>669</v>
      </c>
      <c r="B21" s="14" t="s">
        <v>438</v>
      </c>
      <c r="C21" s="5" t="s">
        <v>670</v>
      </c>
      <c r="D21" s="14" t="s">
        <v>447</v>
      </c>
    </row>
    <row r="22" spans="1:4" ht="25" customHeight="1">
      <c r="A22" s="5" t="s">
        <v>671</v>
      </c>
      <c r="B22" s="14" t="s">
        <v>672</v>
      </c>
      <c r="C22" s="14"/>
      <c r="D22" s="14"/>
    </row>
  </sheetData>
  <mergeCells count="8">
    <mergeCell ref="A1:D1"/>
    <mergeCell ref="A2:D2"/>
    <mergeCell ref="A3:D3"/>
    <mergeCell ref="A7:D7"/>
    <mergeCell ref="A13:D13"/>
    <mergeCell ref="B17:D17"/>
    <mergeCell ref="A18:D18"/>
    <mergeCell ref="C22:D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C4848C"/>
  </sheetPr>
  <dimension ref="A1:G22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18.7109375" customWidth="1"/>
    <col min="3" max="3" width="30.7109375" customWidth="1"/>
    <col min="4" max="4" width="28.7109375" customWidth="1"/>
    <col min="5" max="5" width="15.7109375" customWidth="1"/>
    <col min="6" max="7" width="14.7109375" customWidth="1"/>
  </cols>
  <sheetData>
    <row r="1" spans="1:7" ht="50" customHeight="1">
      <c r="A1" s="1" t="s">
        <v>673</v>
      </c>
      <c r="B1" s="1"/>
      <c r="C1" s="1"/>
      <c r="D1" s="1"/>
      <c r="E1" s="1"/>
      <c r="F1" s="1"/>
      <c r="G1" s="1"/>
    </row>
    <row r="2" spans="1:7" ht="25" customHeight="1">
      <c r="A2" s="2" t="s">
        <v>674</v>
      </c>
      <c r="B2" s="2"/>
      <c r="C2" s="2"/>
      <c r="D2" s="2"/>
      <c r="E2" s="2"/>
      <c r="F2" s="2"/>
      <c r="G2" s="2"/>
    </row>
    <row r="3" spans="1:7">
      <c r="A3" s="3" t="s">
        <v>675</v>
      </c>
      <c r="B3" s="3"/>
      <c r="C3" s="3"/>
      <c r="D3" s="3"/>
      <c r="E3" s="3"/>
      <c r="F3" s="3"/>
      <c r="G3" s="3"/>
    </row>
    <row r="4" spans="1:7" ht="25" customHeight="1"/>
    <row r="5" spans="1:7" ht="30" customHeight="1">
      <c r="A5" s="4" t="s">
        <v>605</v>
      </c>
      <c r="B5" s="4" t="s">
        <v>604</v>
      </c>
      <c r="C5" s="4" t="s">
        <v>676</v>
      </c>
      <c r="D5" s="4" t="s">
        <v>59</v>
      </c>
      <c r="E5" s="4" t="s">
        <v>60</v>
      </c>
      <c r="F5" s="4" t="s">
        <v>677</v>
      </c>
      <c r="G5" s="4" t="s">
        <v>505</v>
      </c>
    </row>
    <row r="6" spans="1:7" ht="22" customHeight="1">
      <c r="A6" s="5" t="s">
        <v>171</v>
      </c>
      <c r="B6" s="10" t="s">
        <v>71</v>
      </c>
      <c r="C6" s="5" t="s">
        <v>678</v>
      </c>
      <c r="D6" s="5" t="s">
        <v>80</v>
      </c>
      <c r="E6" s="10" t="s">
        <v>81</v>
      </c>
      <c r="F6" s="9" t="s">
        <v>42</v>
      </c>
      <c r="G6" s="9" t="s">
        <v>42</v>
      </c>
    </row>
    <row r="7" spans="1:7" ht="22" customHeight="1">
      <c r="A7" s="7" t="s">
        <v>173</v>
      </c>
      <c r="B7" s="10" t="s">
        <v>608</v>
      </c>
      <c r="C7" s="7" t="s">
        <v>679</v>
      </c>
      <c r="D7" s="7" t="s">
        <v>88</v>
      </c>
      <c r="E7" s="10" t="s">
        <v>89</v>
      </c>
      <c r="F7" s="9" t="s">
        <v>42</v>
      </c>
      <c r="G7" s="11" t="s">
        <v>43</v>
      </c>
    </row>
    <row r="8" spans="1:7" ht="22" customHeight="1">
      <c r="A8" s="5" t="s">
        <v>175</v>
      </c>
      <c r="B8" s="10" t="s">
        <v>608</v>
      </c>
      <c r="C8" s="5" t="s">
        <v>680</v>
      </c>
      <c r="D8" s="5" t="s">
        <v>97</v>
      </c>
      <c r="E8" s="10" t="s">
        <v>98</v>
      </c>
      <c r="F8" s="9" t="s">
        <v>42</v>
      </c>
      <c r="G8" s="11" t="s">
        <v>43</v>
      </c>
    </row>
    <row r="9" spans="1:7" ht="22" customHeight="1">
      <c r="A9" s="7" t="s">
        <v>609</v>
      </c>
      <c r="B9" s="10" t="s">
        <v>608</v>
      </c>
      <c r="C9" s="7" t="s">
        <v>681</v>
      </c>
      <c r="D9" s="7" t="s">
        <v>105</v>
      </c>
      <c r="E9" s="10" t="s">
        <v>106</v>
      </c>
      <c r="F9" s="10" t="s">
        <v>43</v>
      </c>
      <c r="G9" s="19" t="s">
        <v>137</v>
      </c>
    </row>
    <row r="10" spans="1:7" ht="22" customHeight="1">
      <c r="A10" s="5" t="s">
        <v>177</v>
      </c>
      <c r="B10" s="10" t="s">
        <v>608</v>
      </c>
      <c r="C10" s="5" t="s">
        <v>682</v>
      </c>
      <c r="D10" s="5" t="s">
        <v>114</v>
      </c>
      <c r="E10" s="10" t="s">
        <v>115</v>
      </c>
      <c r="F10" s="10" t="s">
        <v>43</v>
      </c>
      <c r="G10" s="19" t="s">
        <v>137</v>
      </c>
    </row>
    <row r="11" spans="1:7" ht="22" customHeight="1">
      <c r="A11" s="7" t="s">
        <v>613</v>
      </c>
      <c r="B11" s="10" t="s">
        <v>612</v>
      </c>
      <c r="C11" s="7" t="s">
        <v>683</v>
      </c>
      <c r="D11" s="7" t="s">
        <v>684</v>
      </c>
      <c r="E11" s="10" t="s">
        <v>98</v>
      </c>
      <c r="F11" s="9" t="s">
        <v>42</v>
      </c>
      <c r="G11" s="9" t="s">
        <v>42</v>
      </c>
    </row>
    <row r="12" spans="1:7" ht="22" customHeight="1">
      <c r="A12" s="5" t="s">
        <v>616</v>
      </c>
      <c r="B12" s="10" t="s">
        <v>615</v>
      </c>
      <c r="C12" s="5" t="s">
        <v>685</v>
      </c>
      <c r="D12" s="5" t="s">
        <v>686</v>
      </c>
      <c r="E12" s="10" t="s">
        <v>94</v>
      </c>
      <c r="F12" s="9" t="s">
        <v>42</v>
      </c>
      <c r="G12" s="9" t="s">
        <v>42</v>
      </c>
    </row>
    <row r="13" spans="1:7" ht="20" customHeight="1">
      <c r="A13" s="3" t="s">
        <v>687</v>
      </c>
      <c r="B13" s="3"/>
      <c r="C13" s="3"/>
      <c r="D13" s="3"/>
      <c r="E13" s="3"/>
      <c r="F13" s="3"/>
      <c r="G13" s="3"/>
    </row>
    <row r="14" spans="1:7" ht="25" customHeight="1"/>
    <row r="15" spans="1:7" ht="30" customHeight="1">
      <c r="A15" s="4" t="s">
        <v>605</v>
      </c>
      <c r="B15" s="4" t="s">
        <v>604</v>
      </c>
      <c r="C15" s="4" t="s">
        <v>676</v>
      </c>
      <c r="D15" s="4" t="s">
        <v>59</v>
      </c>
      <c r="E15" s="4" t="s">
        <v>60</v>
      </c>
      <c r="F15" s="4" t="s">
        <v>677</v>
      </c>
      <c r="G15" s="4" t="s">
        <v>505</v>
      </c>
    </row>
    <row r="16" spans="1:7" ht="22" customHeight="1">
      <c r="A16" s="5" t="s">
        <v>172</v>
      </c>
      <c r="B16" s="10" t="s">
        <v>77</v>
      </c>
      <c r="C16" s="5" t="s">
        <v>688</v>
      </c>
      <c r="D16" s="5" t="s">
        <v>84</v>
      </c>
      <c r="E16" s="10" t="s">
        <v>85</v>
      </c>
      <c r="F16" s="9" t="s">
        <v>42</v>
      </c>
      <c r="G16" s="9" t="s">
        <v>42</v>
      </c>
    </row>
    <row r="17" spans="1:7" ht="22" customHeight="1">
      <c r="A17" s="7" t="s">
        <v>174</v>
      </c>
      <c r="B17" s="10" t="s">
        <v>610</v>
      </c>
      <c r="C17" s="7" t="s">
        <v>689</v>
      </c>
      <c r="D17" s="7" t="s">
        <v>93</v>
      </c>
      <c r="E17" s="10" t="s">
        <v>94</v>
      </c>
      <c r="F17" s="9" t="s">
        <v>42</v>
      </c>
      <c r="G17" s="11" t="s">
        <v>43</v>
      </c>
    </row>
    <row r="18" spans="1:7" ht="22" customHeight="1">
      <c r="A18" s="5" t="s">
        <v>611</v>
      </c>
      <c r="B18" s="10" t="s">
        <v>610</v>
      </c>
      <c r="C18" s="5" t="s">
        <v>690</v>
      </c>
      <c r="D18" s="5" t="s">
        <v>110</v>
      </c>
      <c r="E18" s="10" t="s">
        <v>111</v>
      </c>
      <c r="F18" s="9" t="s">
        <v>42</v>
      </c>
      <c r="G18" s="11" t="s">
        <v>43</v>
      </c>
    </row>
    <row r="19" spans="1:7" ht="22" customHeight="1">
      <c r="A19" s="7" t="s">
        <v>178</v>
      </c>
      <c r="B19" s="10" t="s">
        <v>610</v>
      </c>
      <c r="C19" s="7" t="s">
        <v>691</v>
      </c>
      <c r="D19" s="7" t="s">
        <v>118</v>
      </c>
      <c r="E19" s="10" t="s">
        <v>119</v>
      </c>
      <c r="F19" s="10" t="s">
        <v>43</v>
      </c>
      <c r="G19" s="19" t="s">
        <v>137</v>
      </c>
    </row>
    <row r="20" spans="1:7" ht="22" customHeight="1">
      <c r="A20" s="5" t="s">
        <v>182</v>
      </c>
      <c r="B20" s="10" t="s">
        <v>610</v>
      </c>
      <c r="C20" s="5" t="s">
        <v>692</v>
      </c>
      <c r="D20" s="5" t="s">
        <v>127</v>
      </c>
      <c r="E20" s="10" t="s">
        <v>128</v>
      </c>
      <c r="F20" s="10" t="s">
        <v>43</v>
      </c>
      <c r="G20" s="19" t="s">
        <v>137</v>
      </c>
    </row>
    <row r="21" spans="1:7" ht="22" customHeight="1">
      <c r="A21" s="7" t="s">
        <v>176</v>
      </c>
      <c r="B21" s="10" t="s">
        <v>693</v>
      </c>
      <c r="C21" s="7" t="s">
        <v>694</v>
      </c>
      <c r="D21" s="7" t="s">
        <v>101</v>
      </c>
      <c r="E21" s="10" t="s">
        <v>102</v>
      </c>
      <c r="F21" s="10" t="s">
        <v>43</v>
      </c>
      <c r="G21" s="19" t="s">
        <v>137</v>
      </c>
    </row>
    <row r="22" spans="1:7" ht="22" customHeight="1">
      <c r="A22" s="5" t="s">
        <v>695</v>
      </c>
      <c r="B22" s="10" t="s">
        <v>693</v>
      </c>
      <c r="C22" s="5" t="s">
        <v>696</v>
      </c>
      <c r="D22" s="5" t="s">
        <v>135</v>
      </c>
      <c r="E22" s="10" t="s">
        <v>136</v>
      </c>
      <c r="F22" s="10" t="s">
        <v>43</v>
      </c>
      <c r="G22" s="19" t="s">
        <v>137</v>
      </c>
    </row>
  </sheetData>
  <mergeCells count="4">
    <mergeCell ref="A1:G1"/>
    <mergeCell ref="A2:G2"/>
    <mergeCell ref="A3:G3"/>
    <mergeCell ref="A13:G1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D4605A"/>
  </sheetPr>
  <dimension ref="A1:D22"/>
  <sheetViews>
    <sheetView workbookViewId="0"/>
  </sheetViews>
  <sheetFormatPr defaultRowHeight="15"/>
  <cols>
    <col min="1" max="1" width="25.7109375" customWidth="1"/>
    <col min="2" max="2" width="35.7109375" customWidth="1"/>
    <col min="3" max="3" width="25.7109375" customWidth="1"/>
    <col min="4" max="4" width="35.7109375" customWidth="1"/>
  </cols>
  <sheetData>
    <row r="1" spans="1:4" ht="50" customHeight="1">
      <c r="A1" s="1" t="s">
        <v>697</v>
      </c>
      <c r="B1" s="1"/>
      <c r="C1" s="1"/>
      <c r="D1" s="1"/>
    </row>
    <row r="2" spans="1:4" ht="25" customHeight="1">
      <c r="A2" s="2" t="s">
        <v>698</v>
      </c>
      <c r="B2" s="2"/>
      <c r="C2" s="2"/>
      <c r="D2" s="2"/>
    </row>
    <row r="3" spans="1:4">
      <c r="A3" s="3" t="s">
        <v>699</v>
      </c>
      <c r="B3" s="3"/>
      <c r="C3" s="3"/>
      <c r="D3" s="3"/>
    </row>
    <row r="4" spans="1:4" ht="25" customHeight="1"/>
    <row r="5" spans="1:4" ht="25" customHeight="1">
      <c r="A5" s="5" t="s">
        <v>700</v>
      </c>
      <c r="B5" s="14" t="s">
        <v>701</v>
      </c>
      <c r="C5" s="5" t="s">
        <v>702</v>
      </c>
      <c r="D5" s="14" t="s">
        <v>703</v>
      </c>
    </row>
    <row r="6" spans="1:4" ht="25" customHeight="1">
      <c r="A6" s="5" t="s">
        <v>704</v>
      </c>
      <c r="B6" s="14" t="s">
        <v>169</v>
      </c>
      <c r="C6" s="5" t="s">
        <v>705</v>
      </c>
      <c r="D6" s="14" t="s">
        <v>706</v>
      </c>
    </row>
    <row r="7" spans="1:4" ht="25" customHeight="1">
      <c r="A7" s="5" t="s">
        <v>707</v>
      </c>
      <c r="B7" s="14" t="s">
        <v>170</v>
      </c>
      <c r="C7" s="5" t="s">
        <v>708</v>
      </c>
      <c r="D7" s="14" t="s">
        <v>709</v>
      </c>
    </row>
    <row r="8" spans="1:4">
      <c r="A8" s="3" t="s">
        <v>710</v>
      </c>
      <c r="B8" s="3"/>
      <c r="C8" s="3"/>
      <c r="D8" s="3"/>
    </row>
    <row r="9" spans="1:4" ht="25" customHeight="1"/>
    <row r="10" spans="1:4" ht="25" customHeight="1">
      <c r="A10" s="5" t="s">
        <v>711</v>
      </c>
      <c r="B10" s="14" t="s">
        <v>202</v>
      </c>
      <c r="C10" s="5" t="s">
        <v>712</v>
      </c>
      <c r="D10" s="14" t="s">
        <v>210</v>
      </c>
    </row>
    <row r="11" spans="1:4" ht="25" customHeight="1">
      <c r="A11" s="5" t="s">
        <v>713</v>
      </c>
      <c r="B11" s="14" t="s">
        <v>218</v>
      </c>
      <c r="C11" s="5" t="s">
        <v>714</v>
      </c>
      <c r="D11" s="14" t="s">
        <v>715</v>
      </c>
    </row>
    <row r="12" spans="1:4" ht="25" customHeight="1">
      <c r="A12" s="5" t="s">
        <v>716</v>
      </c>
      <c r="B12" s="14" t="s">
        <v>361</v>
      </c>
      <c r="C12" s="5" t="s">
        <v>717</v>
      </c>
      <c r="D12" s="14" t="s">
        <v>365</v>
      </c>
    </row>
    <row r="13" spans="1:4">
      <c r="A13" s="3" t="s">
        <v>718</v>
      </c>
      <c r="B13" s="3"/>
      <c r="C13" s="3"/>
      <c r="D13" s="3"/>
    </row>
    <row r="14" spans="1:4" ht="25" customHeight="1"/>
    <row r="15" spans="1:4" ht="25" customHeight="1">
      <c r="A15" s="5" t="s">
        <v>719</v>
      </c>
      <c r="B15" s="14"/>
      <c r="C15" s="14"/>
      <c r="D15" s="14"/>
    </row>
    <row r="16" spans="1:4" ht="25" customHeight="1">
      <c r="A16" s="5" t="s">
        <v>721</v>
      </c>
      <c r="B16" s="14"/>
      <c r="C16" s="14"/>
      <c r="D16" s="14"/>
    </row>
    <row r="17" spans="1:4" ht="25" customHeight="1">
      <c r="A17" s="5" t="s">
        <v>723</v>
      </c>
      <c r="B17" s="14" t="s">
        <v>594</v>
      </c>
      <c r="C17" s="14"/>
      <c r="D17" s="14"/>
    </row>
    <row r="18" spans="1:4">
      <c r="A18" s="3" t="s">
        <v>724</v>
      </c>
      <c r="B18" s="3"/>
      <c r="C18" s="3"/>
      <c r="D18" s="3"/>
    </row>
    <row r="19" spans="1:4" ht="25" customHeight="1"/>
    <row r="20" spans="1:4" ht="25" customHeight="1">
      <c r="A20" s="5" t="s">
        <v>725</v>
      </c>
      <c r="B20" s="14"/>
      <c r="C20" s="14"/>
      <c r="D20" s="14"/>
    </row>
    <row r="21" spans="1:4" ht="25" customHeight="1">
      <c r="A21" s="5" t="s">
        <v>727</v>
      </c>
      <c r="B21" s="14"/>
      <c r="C21" s="14"/>
      <c r="D21" s="14"/>
    </row>
    <row r="22" spans="1:4" ht="25" customHeight="1">
      <c r="A22" s="5" t="s">
        <v>729</v>
      </c>
      <c r="B22" s="14"/>
      <c r="C22" s="14"/>
      <c r="D22" s="14"/>
    </row>
  </sheetData>
  <mergeCells count="12">
    <mergeCell ref="A1:D1"/>
    <mergeCell ref="A2:D2"/>
    <mergeCell ref="A3:D3"/>
    <mergeCell ref="A8:D8"/>
    <mergeCell ref="A13:D13"/>
    <mergeCell ref="C15:D15"/>
    <mergeCell ref="C16:D16"/>
    <mergeCell ref="C17:D17"/>
    <mergeCell ref="A18:D18"/>
    <mergeCell ref="C20:D20"/>
    <mergeCell ref="C21:D21"/>
    <mergeCell ref="C22:D2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3D8B8B"/>
  </sheetPr>
  <dimension ref="A1:D39"/>
  <sheetViews>
    <sheetView workbookViewId="0"/>
  </sheetViews>
  <sheetFormatPr defaultRowHeight="15"/>
  <cols>
    <col min="1" max="1" width="20.7109375" customWidth="1"/>
    <col min="2" max="2" width="35.7109375" customWidth="1"/>
    <col min="3" max="3" width="20.7109375" customWidth="1"/>
    <col min="4" max="4" width="35.7109375" customWidth="1"/>
  </cols>
  <sheetData>
    <row r="1" spans="1:4" ht="50" customHeight="1">
      <c r="A1" s="1" t="s">
        <v>730</v>
      </c>
      <c r="B1" s="1"/>
      <c r="C1" s="1"/>
      <c r="D1" s="1"/>
    </row>
    <row r="2" spans="1:4" ht="25" customHeight="1">
      <c r="A2" s="2" t="s">
        <v>731</v>
      </c>
      <c r="B2" s="2"/>
      <c r="C2" s="2"/>
      <c r="D2" s="2"/>
    </row>
    <row r="3" spans="1:4">
      <c r="A3" s="3" t="s">
        <v>732</v>
      </c>
      <c r="B3" s="3"/>
      <c r="C3" s="3"/>
      <c r="D3" s="3"/>
    </row>
    <row r="4" spans="1:4" ht="25" customHeight="1"/>
    <row r="5" spans="1:4" ht="25" customHeight="1">
      <c r="A5" s="5" t="s">
        <v>733</v>
      </c>
      <c r="B5" s="14" t="s">
        <v>734</v>
      </c>
      <c r="C5" s="5" t="s">
        <v>735</v>
      </c>
      <c r="D5" s="14" t="s">
        <v>736</v>
      </c>
    </row>
    <row r="6" spans="1:4" ht="25" customHeight="1">
      <c r="A6" s="5" t="s">
        <v>737</v>
      </c>
      <c r="B6" s="14" t="s">
        <v>738</v>
      </c>
      <c r="C6" s="5" t="s">
        <v>739</v>
      </c>
      <c r="D6" s="14" t="s">
        <v>740</v>
      </c>
    </row>
    <row r="7" spans="1:4" ht="25" customHeight="1">
      <c r="A7" s="5" t="s">
        <v>741</v>
      </c>
      <c r="B7" s="14" t="s">
        <v>742</v>
      </c>
      <c r="C7" s="14"/>
      <c r="D7" s="14"/>
    </row>
    <row r="8" spans="1:4">
      <c r="A8" s="3" t="s">
        <v>743</v>
      </c>
      <c r="B8" s="3"/>
      <c r="C8" s="3"/>
      <c r="D8" s="3"/>
    </row>
    <row r="9" spans="1:4" ht="25" customHeight="1"/>
    <row r="10" spans="1:4" ht="25" customHeight="1">
      <c r="A10" s="5" t="s">
        <v>744</v>
      </c>
      <c r="C10" s="5" t="s">
        <v>745</v>
      </c>
    </row>
    <row r="11" spans="1:4" ht="25" customHeight="1">
      <c r="A11" s="5" t="s">
        <v>746</v>
      </c>
      <c r="C11" s="5" t="s">
        <v>747</v>
      </c>
    </row>
    <row r="12" spans="1:4" ht="25" customHeight="1">
      <c r="A12" s="5" t="s">
        <v>748</v>
      </c>
      <c r="C12" s="5" t="s">
        <v>745</v>
      </c>
    </row>
    <row r="13" spans="1:4" ht="25" customHeight="1">
      <c r="A13" s="5" t="s">
        <v>746</v>
      </c>
      <c r="C13" s="5" t="s">
        <v>749</v>
      </c>
    </row>
    <row r="14" spans="1:4">
      <c r="A14" s="3" t="s">
        <v>750</v>
      </c>
      <c r="B14" s="3"/>
      <c r="C14" s="3"/>
      <c r="D14" s="3"/>
    </row>
    <row r="15" spans="1:4" ht="25" customHeight="1"/>
    <row r="16" spans="1:4" ht="25" customHeight="1">
      <c r="A16" s="5" t="s">
        <v>751</v>
      </c>
      <c r="C16" s="5" t="s">
        <v>752</v>
      </c>
    </row>
    <row r="17" spans="1:4" ht="25" customHeight="1">
      <c r="A17" s="5" t="s">
        <v>745</v>
      </c>
      <c r="C17" s="5" t="s">
        <v>753</v>
      </c>
    </row>
    <row r="18" spans="1:4" ht="25" customHeight="1">
      <c r="A18" s="5" t="s">
        <v>754</v>
      </c>
      <c r="C18" s="5" t="s">
        <v>755</v>
      </c>
    </row>
    <row r="19" spans="1:4">
      <c r="A19" s="3" t="s">
        <v>756</v>
      </c>
      <c r="B19" s="3"/>
      <c r="C19" s="3"/>
      <c r="D19" s="3"/>
    </row>
    <row r="20" spans="1:4" ht="25" customHeight="1"/>
    <row r="21" spans="1:4" ht="25" customHeight="1">
      <c r="A21" s="5" t="s">
        <v>757</v>
      </c>
      <c r="B21" s="14" t="s">
        <v>758</v>
      </c>
      <c r="C21" s="5" t="s">
        <v>759</v>
      </c>
      <c r="D21" s="14" t="s">
        <v>760</v>
      </c>
    </row>
    <row r="22" spans="1:4" ht="25" customHeight="1">
      <c r="A22" s="5" t="s">
        <v>761</v>
      </c>
      <c r="B22" s="14" t="s">
        <v>762</v>
      </c>
      <c r="C22" s="5" t="s">
        <v>763</v>
      </c>
      <c r="D22" s="14" t="s">
        <v>764</v>
      </c>
    </row>
    <row r="23" spans="1:4">
      <c r="A23" s="3" t="s">
        <v>765</v>
      </c>
      <c r="B23" s="3"/>
      <c r="C23" s="3"/>
      <c r="D23" s="3"/>
    </row>
    <row r="24" spans="1:4" ht="25" customHeight="1"/>
    <row r="25" spans="1:4" ht="25" customHeight="1">
      <c r="A25" s="4" t="s">
        <v>766</v>
      </c>
      <c r="B25" s="4" t="s">
        <v>767</v>
      </c>
      <c r="C25" s="4" t="s">
        <v>387</v>
      </c>
      <c r="D25" s="4" t="s">
        <v>388</v>
      </c>
    </row>
    <row r="26" spans="1:4" ht="22" customHeight="1">
      <c r="A26" s="10" t="s">
        <v>768</v>
      </c>
      <c r="B26" s="5" t="s">
        <v>769</v>
      </c>
      <c r="C26" s="5" t="s">
        <v>770</v>
      </c>
      <c r="D26" s="5" t="s">
        <v>771</v>
      </c>
    </row>
    <row r="27" spans="1:4" ht="22" customHeight="1">
      <c r="A27" s="10" t="s">
        <v>772</v>
      </c>
      <c r="B27" s="7" t="s">
        <v>773</v>
      </c>
      <c r="C27" s="7" t="s">
        <v>774</v>
      </c>
      <c r="D27" s="7" t="s">
        <v>775</v>
      </c>
    </row>
    <row r="28" spans="1:4" ht="22" customHeight="1">
      <c r="A28" s="10" t="s">
        <v>776</v>
      </c>
      <c r="B28" s="5" t="s">
        <v>777</v>
      </c>
      <c r="C28" s="5" t="s">
        <v>778</v>
      </c>
      <c r="D28" s="5" t="s">
        <v>779</v>
      </c>
    </row>
    <row r="29" spans="1:4" ht="22" customHeight="1">
      <c r="A29" s="10" t="s">
        <v>780</v>
      </c>
      <c r="B29" s="7" t="s">
        <v>781</v>
      </c>
      <c r="C29" s="7" t="s">
        <v>782</v>
      </c>
      <c r="D29" s="7" t="s">
        <v>783</v>
      </c>
    </row>
    <row r="30" spans="1:4" ht="22" customHeight="1">
      <c r="A30" s="10" t="s">
        <v>784</v>
      </c>
      <c r="B30" s="5" t="s">
        <v>785</v>
      </c>
      <c r="C30" s="5" t="s">
        <v>786</v>
      </c>
      <c r="D30" s="5" t="s">
        <v>787</v>
      </c>
    </row>
    <row r="31" spans="1:4" ht="22" customHeight="1">
      <c r="A31" s="10" t="s">
        <v>788</v>
      </c>
      <c r="B31" s="7" t="s">
        <v>789</v>
      </c>
      <c r="C31" s="7" t="s">
        <v>790</v>
      </c>
      <c r="D31" s="7" t="s">
        <v>791</v>
      </c>
    </row>
    <row r="32" spans="1:4" ht="22" customHeight="1">
      <c r="A32" s="10" t="s">
        <v>792</v>
      </c>
      <c r="B32" s="5" t="s">
        <v>793</v>
      </c>
      <c r="C32" s="5" t="s">
        <v>794</v>
      </c>
      <c r="D32" s="5" t="s">
        <v>795</v>
      </c>
    </row>
    <row r="33" spans="1:4">
      <c r="A33" s="3" t="s">
        <v>796</v>
      </c>
      <c r="B33" s="3"/>
      <c r="C33" s="3"/>
      <c r="D33" s="3"/>
    </row>
    <row r="34" spans="1:4" ht="25" customHeight="1"/>
    <row r="35" spans="1:4" ht="22" customHeight="1">
      <c r="A35" s="5" t="s">
        <v>799</v>
      </c>
      <c r="B35" s="5" t="s">
        <v>800</v>
      </c>
    </row>
    <row r="36" spans="1:4" ht="22" customHeight="1">
      <c r="C36" s="7" t="s">
        <v>803</v>
      </c>
      <c r="D36" s="7" t="s">
        <v>804</v>
      </c>
    </row>
    <row r="37" spans="1:4" ht="22" customHeight="1">
      <c r="A37" s="5" t="s">
        <v>807</v>
      </c>
      <c r="B37" s="5" t="s">
        <v>808</v>
      </c>
    </row>
    <row r="38" spans="1:4" ht="22" customHeight="1">
      <c r="C38" s="7" t="s">
        <v>811</v>
      </c>
      <c r="D38" s="7" t="s">
        <v>812</v>
      </c>
    </row>
    <row r="39" spans="1:4" ht="22" customHeight="1">
      <c r="A39" s="5" t="s">
        <v>815</v>
      </c>
      <c r="B39" s="5" t="s">
        <v>816</v>
      </c>
    </row>
  </sheetData>
  <mergeCells count="9">
    <mergeCell ref="A1:D1"/>
    <mergeCell ref="A2:D2"/>
    <mergeCell ref="A3:D3"/>
    <mergeCell ref="C7:D7"/>
    <mergeCell ref="A8:D8"/>
    <mergeCell ref="A14:D14"/>
    <mergeCell ref="A19:D19"/>
    <mergeCell ref="A23:D23"/>
    <mergeCell ref="A33:D33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sheetPr>
    <tabColor rgb="FF6B6B6B"/>
  </sheetPr>
  <dimension ref="A1:D55"/>
  <sheetViews>
    <sheetView workbookViewId="0"/>
  </sheetViews>
  <sheetFormatPr defaultRowHeight="15"/>
  <cols>
    <col min="1" max="1" width="20.7109375" customWidth="1"/>
    <col min="2" max="2" width="35.7109375" customWidth="1"/>
    <col min="3" max="3" width="20.7109375" customWidth="1"/>
    <col min="4" max="4" width="35.7109375" customWidth="1"/>
  </cols>
  <sheetData>
    <row r="1" spans="1:4" ht="50" customHeight="1">
      <c r="A1" s="1" t="s">
        <v>817</v>
      </c>
      <c r="B1" s="1"/>
      <c r="C1" s="1"/>
      <c r="D1" s="1"/>
    </row>
    <row r="2" spans="1:4" ht="25" customHeight="1">
      <c r="A2" s="2" t="s">
        <v>818</v>
      </c>
      <c r="B2" s="2"/>
      <c r="C2" s="2"/>
      <c r="D2" s="2"/>
    </row>
    <row r="3" spans="1:4">
      <c r="A3" s="3" t="s">
        <v>819</v>
      </c>
      <c r="B3" s="3"/>
      <c r="C3" s="3"/>
      <c r="D3" s="3"/>
    </row>
    <row r="4" spans="1:4" ht="25" customHeight="1"/>
    <row r="5" spans="1:4" ht="25" customHeight="1">
      <c r="A5" s="5" t="s">
        <v>820</v>
      </c>
      <c r="B5" s="26"/>
      <c r="C5" s="10" t="s">
        <v>821</v>
      </c>
      <c r="D5" s="10"/>
    </row>
    <row r="6" spans="1:4" ht="25" customHeight="1">
      <c r="A6" s="5" t="s">
        <v>822</v>
      </c>
      <c r="B6" s="27"/>
      <c r="C6" s="10" t="s">
        <v>823</v>
      </c>
      <c r="D6" s="10"/>
    </row>
    <row r="7" spans="1:4" ht="25" customHeight="1">
      <c r="A7" s="5" t="s">
        <v>824</v>
      </c>
      <c r="B7" s="14"/>
      <c r="C7" s="10" t="s">
        <v>825</v>
      </c>
      <c r="D7" s="10"/>
    </row>
    <row r="8" spans="1:4" ht="25" customHeight="1">
      <c r="A8" s="5" t="s">
        <v>826</v>
      </c>
      <c r="B8" s="28"/>
      <c r="C8" s="10" t="s">
        <v>827</v>
      </c>
      <c r="D8" s="10"/>
    </row>
    <row r="9" spans="1:4" ht="25" customHeight="1">
      <c r="A9" s="5" t="s">
        <v>828</v>
      </c>
      <c r="B9" s="29"/>
      <c r="C9" s="10" t="s">
        <v>829</v>
      </c>
      <c r="D9" s="10"/>
    </row>
    <row r="10" spans="1:4">
      <c r="A10" s="3" t="s">
        <v>830</v>
      </c>
      <c r="B10" s="3"/>
      <c r="C10" s="3"/>
      <c r="D10" s="3"/>
    </row>
    <row r="11" spans="1:4" ht="25" customHeight="1"/>
    <row r="12" spans="1:4" ht="80" customHeight="1">
      <c r="A12" s="5" t="s">
        <v>831</v>
      </c>
      <c r="B12" s="19" t="s">
        <v>832</v>
      </c>
      <c r="C12" s="19"/>
      <c r="D12" s="19"/>
    </row>
    <row r="13" spans="1:4" ht="80" customHeight="1">
      <c r="A13" s="5" t="s">
        <v>833</v>
      </c>
      <c r="B13" s="19" t="s">
        <v>832</v>
      </c>
      <c r="C13" s="19"/>
      <c r="D13" s="19"/>
    </row>
    <row r="14" spans="1:4" ht="80" customHeight="1">
      <c r="A14" s="5" t="s">
        <v>834</v>
      </c>
      <c r="B14" s="19" t="s">
        <v>832</v>
      </c>
      <c r="C14" s="19"/>
      <c r="D14" s="19"/>
    </row>
    <row r="15" spans="1:4" ht="60" customHeight="1">
      <c r="A15" s="5" t="s">
        <v>835</v>
      </c>
      <c r="B15" s="19" t="s">
        <v>832</v>
      </c>
      <c r="C15" s="19"/>
      <c r="D15" s="19"/>
    </row>
    <row r="16" spans="1:4" ht="60" customHeight="1">
      <c r="A16" s="5" t="s">
        <v>836</v>
      </c>
      <c r="B16" s="19" t="s">
        <v>832</v>
      </c>
      <c r="C16" s="19"/>
      <c r="D16" s="19"/>
    </row>
    <row r="17" spans="1:4" ht="60" customHeight="1">
      <c r="A17" s="5" t="s">
        <v>837</v>
      </c>
      <c r="B17" s="19" t="s">
        <v>832</v>
      </c>
      <c r="C17" s="19"/>
      <c r="D17" s="19"/>
    </row>
    <row r="18" spans="1:4">
      <c r="A18" s="3" t="s">
        <v>838</v>
      </c>
      <c r="B18" s="3"/>
      <c r="C18" s="3"/>
      <c r="D18" s="3"/>
    </row>
    <row r="19" spans="1:4" ht="25" customHeight="1"/>
    <row r="20" spans="1:4" ht="22" customHeight="1">
      <c r="A20" s="5" t="s">
        <v>839</v>
      </c>
      <c r="B20" s="14"/>
      <c r="C20" s="14"/>
      <c r="D20" s="14"/>
    </row>
    <row r="21" spans="1:4" ht="22" customHeight="1">
      <c r="A21" s="5" t="s">
        <v>840</v>
      </c>
      <c r="B21" s="14"/>
      <c r="C21" s="14"/>
      <c r="D21" s="14"/>
    </row>
    <row r="22" spans="1:4" ht="22" customHeight="1">
      <c r="A22" s="5" t="s">
        <v>841</v>
      </c>
      <c r="B22" s="14"/>
      <c r="C22" s="14"/>
      <c r="D22" s="14"/>
    </row>
    <row r="23" spans="1:4" ht="22" customHeight="1">
      <c r="A23" s="5" t="s">
        <v>842</v>
      </c>
      <c r="B23" s="14"/>
      <c r="C23" s="14"/>
      <c r="D23" s="14"/>
    </row>
    <row r="24" spans="1:4" ht="22" customHeight="1">
      <c r="A24" s="5" t="s">
        <v>843</v>
      </c>
      <c r="B24" s="14"/>
      <c r="C24" s="14"/>
      <c r="D24" s="14"/>
    </row>
    <row r="25" spans="1:4">
      <c r="A25" s="3" t="s">
        <v>844</v>
      </c>
      <c r="B25" s="3"/>
      <c r="C25" s="3"/>
      <c r="D25" s="3"/>
    </row>
    <row r="26" spans="1:4" ht="25" customHeight="1"/>
    <row r="27" spans="1:4" ht="22" customHeight="1">
      <c r="A27" s="5" t="s">
        <v>845</v>
      </c>
      <c r="B27" s="14"/>
      <c r="C27" s="14"/>
      <c r="D27" s="14"/>
    </row>
    <row r="28" spans="1:4" ht="22" customHeight="1">
      <c r="A28" s="5" t="s">
        <v>846</v>
      </c>
      <c r="B28" s="14"/>
      <c r="C28" s="14"/>
      <c r="D28" s="14"/>
    </row>
    <row r="29" spans="1:4" ht="22" customHeight="1">
      <c r="A29" s="5" t="s">
        <v>847</v>
      </c>
      <c r="B29" s="14"/>
      <c r="C29" s="14"/>
      <c r="D29" s="14"/>
    </row>
    <row r="30" spans="1:4" ht="22" customHeight="1">
      <c r="A30" s="5" t="s">
        <v>848</v>
      </c>
      <c r="B30" s="14"/>
      <c r="C30" s="14"/>
      <c r="D30" s="14"/>
    </row>
    <row r="31" spans="1:4" ht="22" customHeight="1">
      <c r="A31" s="5" t="s">
        <v>849</v>
      </c>
      <c r="B31" s="14"/>
      <c r="C31" s="14"/>
      <c r="D31" s="14"/>
    </row>
    <row r="32" spans="1:4" ht="22" customHeight="1">
      <c r="A32" s="5" t="s">
        <v>850</v>
      </c>
      <c r="B32" s="14"/>
      <c r="C32" s="14"/>
      <c r="D32" s="14"/>
    </row>
    <row r="33" spans="1:4" ht="22" customHeight="1">
      <c r="A33" s="5" t="s">
        <v>851</v>
      </c>
      <c r="B33" s="14"/>
      <c r="C33" s="14"/>
      <c r="D33" s="14"/>
    </row>
    <row r="34" spans="1:4" ht="22" customHeight="1">
      <c r="A34" s="5" t="s">
        <v>852</v>
      </c>
      <c r="B34" s="14"/>
      <c r="C34" s="14"/>
      <c r="D34" s="14"/>
    </row>
    <row r="35" spans="1:4" ht="22" customHeight="1">
      <c r="A35" s="5" t="s">
        <v>853</v>
      </c>
      <c r="B35" s="14"/>
      <c r="C35" s="14"/>
      <c r="D35" s="14"/>
    </row>
    <row r="36" spans="1:4" ht="22" customHeight="1">
      <c r="A36" s="5" t="s">
        <v>854</v>
      </c>
      <c r="B36" s="14"/>
      <c r="C36" s="14"/>
      <c r="D36" s="14"/>
    </row>
    <row r="37" spans="1:4">
      <c r="A37" s="3" t="s">
        <v>855</v>
      </c>
      <c r="B37" s="3"/>
      <c r="C37" s="3"/>
      <c r="D37" s="3"/>
    </row>
    <row r="38" spans="1:4" ht="25" customHeight="1"/>
    <row r="39" spans="1:4" ht="22" customHeight="1">
      <c r="A39" s="5" t="s">
        <v>856</v>
      </c>
      <c r="B39" s="14"/>
      <c r="C39" s="14"/>
      <c r="D39" s="14"/>
    </row>
    <row r="40" spans="1:4" ht="22" customHeight="1">
      <c r="A40" s="5" t="s">
        <v>857</v>
      </c>
      <c r="B40" s="14"/>
      <c r="C40" s="14"/>
      <c r="D40" s="14"/>
    </row>
    <row r="41" spans="1:4" ht="22" customHeight="1">
      <c r="A41" s="5" t="s">
        <v>858</v>
      </c>
      <c r="B41" s="14"/>
      <c r="C41" s="14"/>
      <c r="D41" s="14"/>
    </row>
    <row r="42" spans="1:4" ht="22" customHeight="1">
      <c r="A42" s="5" t="s">
        <v>859</v>
      </c>
      <c r="B42" s="14"/>
      <c r="C42" s="14"/>
      <c r="D42" s="14"/>
    </row>
    <row r="43" spans="1:4" ht="22" customHeight="1">
      <c r="A43" s="5" t="s">
        <v>860</v>
      </c>
      <c r="B43" s="14"/>
      <c r="C43" s="14"/>
      <c r="D43" s="14"/>
    </row>
    <row r="44" spans="1:4">
      <c r="A44" s="3" t="s">
        <v>861</v>
      </c>
      <c r="B44" s="3"/>
      <c r="C44" s="3"/>
      <c r="D44" s="3"/>
    </row>
    <row r="45" spans="1:4" ht="25" customHeight="1"/>
    <row r="46" spans="1:4" ht="22" customHeight="1">
      <c r="A46" s="5" t="s">
        <v>839</v>
      </c>
      <c r="B46" s="14"/>
      <c r="C46" s="14"/>
      <c r="D46" s="14"/>
    </row>
    <row r="47" spans="1:4" ht="22" customHeight="1">
      <c r="A47" s="5" t="s">
        <v>840</v>
      </c>
      <c r="B47" s="14"/>
      <c r="C47" s="14"/>
      <c r="D47" s="14"/>
    </row>
    <row r="48" spans="1:4" ht="22" customHeight="1">
      <c r="A48" s="5" t="s">
        <v>841</v>
      </c>
      <c r="B48" s="14"/>
      <c r="C48" s="14"/>
      <c r="D48" s="14"/>
    </row>
    <row r="49" spans="1:4" ht="22" customHeight="1">
      <c r="A49" s="5" t="s">
        <v>842</v>
      </c>
      <c r="B49" s="14"/>
      <c r="C49" s="14"/>
      <c r="D49" s="14"/>
    </row>
    <row r="50" spans="1:4" ht="22" customHeight="1">
      <c r="A50" s="5" t="s">
        <v>843</v>
      </c>
      <c r="B50" s="14"/>
      <c r="C50" s="14"/>
      <c r="D50" s="14"/>
    </row>
    <row r="51" spans="1:4" ht="22" customHeight="1">
      <c r="A51" s="5" t="s">
        <v>862</v>
      </c>
      <c r="B51" s="14"/>
      <c r="C51" s="14"/>
      <c r="D51" s="14"/>
    </row>
    <row r="52" spans="1:4" ht="22" customHeight="1">
      <c r="A52" s="5" t="s">
        <v>863</v>
      </c>
      <c r="B52" s="14"/>
      <c r="C52" s="14"/>
      <c r="D52" s="14"/>
    </row>
    <row r="53" spans="1:4" ht="22" customHeight="1">
      <c r="A53" s="5" t="s">
        <v>864</v>
      </c>
      <c r="B53" s="14"/>
      <c r="C53" s="14"/>
      <c r="D53" s="14"/>
    </row>
    <row r="54" spans="1:4" ht="22" customHeight="1">
      <c r="A54" s="5" t="s">
        <v>865</v>
      </c>
      <c r="B54" s="14"/>
      <c r="C54" s="14"/>
      <c r="D54" s="14"/>
    </row>
    <row r="55" spans="1:4" ht="22" customHeight="1">
      <c r="A55" s="5" t="s">
        <v>866</v>
      </c>
      <c r="B55" s="14"/>
      <c r="C55" s="14"/>
      <c r="D55" s="14"/>
    </row>
  </sheetData>
  <mergeCells count="49">
    <mergeCell ref="A1:D1"/>
    <mergeCell ref="A2:D2"/>
    <mergeCell ref="A3:D3"/>
    <mergeCell ref="C5:D5"/>
    <mergeCell ref="C6:D6"/>
    <mergeCell ref="C7:D7"/>
    <mergeCell ref="C8:D8"/>
    <mergeCell ref="C9:D9"/>
    <mergeCell ref="A10:D10"/>
    <mergeCell ref="B12:D12"/>
    <mergeCell ref="B13:D13"/>
    <mergeCell ref="B14:D14"/>
    <mergeCell ref="B15:D15"/>
    <mergeCell ref="B16:D16"/>
    <mergeCell ref="B17:D17"/>
    <mergeCell ref="A18:D18"/>
    <mergeCell ref="C20:D20"/>
    <mergeCell ref="C21:D21"/>
    <mergeCell ref="C22:D22"/>
    <mergeCell ref="C23:D23"/>
    <mergeCell ref="C24:D24"/>
    <mergeCell ref="A25:D25"/>
    <mergeCell ref="B27:D27"/>
    <mergeCell ref="B28:D28"/>
    <mergeCell ref="B29:D29"/>
    <mergeCell ref="B30:D30"/>
    <mergeCell ref="B31:D31"/>
    <mergeCell ref="B32:D32"/>
    <mergeCell ref="B33:D33"/>
    <mergeCell ref="B34:D34"/>
    <mergeCell ref="B35:D35"/>
    <mergeCell ref="B36:D36"/>
    <mergeCell ref="A37:D37"/>
    <mergeCell ref="B39:D39"/>
    <mergeCell ref="B40:D40"/>
    <mergeCell ref="B41:D41"/>
    <mergeCell ref="B42:D42"/>
    <mergeCell ref="B43:D43"/>
    <mergeCell ref="A44:D44"/>
    <mergeCell ref="B46:D46"/>
    <mergeCell ref="B47:D47"/>
    <mergeCell ref="B48:D48"/>
    <mergeCell ref="B49:D49"/>
    <mergeCell ref="B50:D50"/>
    <mergeCell ref="B51:D51"/>
    <mergeCell ref="B52:D52"/>
    <mergeCell ref="B53:D53"/>
    <mergeCell ref="B54:D54"/>
    <mergeCell ref="B55:D5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Dashboard</vt:lpstr>
      <vt:lpstr>Budget Overview</vt:lpstr>
      <vt:lpstr>Guest List &amp; RSVP</vt:lpstr>
      <vt:lpstr>Seating Chart</vt:lpstr>
      <vt:lpstr>Vendor Contacts</vt:lpstr>
      <vt:lpstr>Venue Comparison</vt:lpstr>
      <vt:lpstr>Wedding Checklist</vt:lpstr>
      <vt:lpstr>Vendor Payments</vt:lpstr>
      <vt:lpstr>Wedding Day Timeline</vt:lpstr>
      <vt:lpstr>Photography Shot List</vt:lpstr>
      <vt:lpstr>Registry Tracker</vt:lpstr>
      <vt:lpstr>Thank You Tracker</vt:lpstr>
      <vt:lpstr>Ceremony Details</vt:lpstr>
      <vt:lpstr>Reception Details</vt:lpstr>
      <vt:lpstr>Wedding Party</vt:lpstr>
      <vt:lpstr>Emergency Contacts</vt:lpstr>
      <vt:lpstr>Honeymoon Planner</vt:lpstr>
      <vt:lpstr>Notes &amp; Ideas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2026-03-23T16:40:42Z</dcterms:created>
  <dcterms:modified xsi:type="dcterms:W3CDTF">2026-03-23T16:40:42Z</dcterms:modified>
</cp:coreProperties>
</file>